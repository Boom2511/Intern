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F10A98E-E3D7-4BFF-B5A8-35F8653EADF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REA_EMPLOYEE" sheetId="2" r:id="rId1"/>
    <sheet name="DB_HEAD" sheetId="3" r:id="rId2"/>
    <sheet name="รายการจาก Form" sheetId="4" r:id="rId3"/>
    <sheet name="User" sheetId="5" r:id="rId4"/>
    <sheet name="Task" sheetId="6" r:id="rId5"/>
    <sheet name="Logs" sheetId="7" r:id="rId6"/>
  </sheets>
  <calcPr calcId="191029"/>
  <extLst>
    <ext uri="GoogleSheetsCustomDataVersion2">
      <go:sheetsCustomData xmlns:go="http://customooxmlschemas.google.com/" r:id="rId11" roundtripDataChecksum="TJR43Nf+qoeYKchEaV5kQzCnux0hfhfwq+6874xVWPA="/>
    </ext>
  </extLst>
</workbook>
</file>

<file path=xl/calcChain.xml><?xml version="1.0" encoding="utf-8"?>
<calcChain xmlns="http://schemas.openxmlformats.org/spreadsheetml/2006/main">
  <c r="J775" i="4" l="1"/>
  <c r="H775" i="4"/>
  <c r="G775" i="4"/>
  <c r="F775" i="4"/>
  <c r="E775" i="4"/>
  <c r="D775" i="4"/>
  <c r="C775" i="4"/>
  <c r="B775" i="4"/>
  <c r="A775" i="4"/>
  <c r="K774" i="4"/>
  <c r="J774" i="4"/>
  <c r="H774" i="4"/>
  <c r="G774" i="4"/>
  <c r="F774" i="4"/>
  <c r="E774" i="4"/>
  <c r="D774" i="4"/>
  <c r="C774" i="4"/>
  <c r="B774" i="4"/>
  <c r="A774" i="4"/>
  <c r="K773" i="4"/>
  <c r="J773" i="4"/>
  <c r="I773" i="4"/>
  <c r="H773" i="4"/>
  <c r="G773" i="4"/>
  <c r="F773" i="4"/>
  <c r="E773" i="4"/>
  <c r="D773" i="4"/>
  <c r="C773" i="4"/>
  <c r="B773" i="4"/>
  <c r="A773" i="4"/>
  <c r="K772" i="4"/>
  <c r="J772" i="4"/>
  <c r="H772" i="4"/>
  <c r="G772" i="4"/>
  <c r="F772" i="4"/>
  <c r="E772" i="4"/>
  <c r="D772" i="4"/>
  <c r="C772" i="4"/>
  <c r="B772" i="4"/>
  <c r="A772" i="4"/>
  <c r="K771" i="4"/>
  <c r="J771" i="4"/>
  <c r="I771" i="4"/>
  <c r="H771" i="4"/>
  <c r="G771" i="4"/>
  <c r="F771" i="4"/>
  <c r="E771" i="4"/>
  <c r="D771" i="4"/>
  <c r="C771" i="4"/>
  <c r="B771" i="4"/>
  <c r="A771" i="4"/>
  <c r="K770" i="4"/>
  <c r="J770" i="4"/>
  <c r="H770" i="4"/>
  <c r="G770" i="4"/>
  <c r="F770" i="4"/>
  <c r="E770" i="4"/>
  <c r="D770" i="4"/>
  <c r="C770" i="4"/>
  <c r="B770" i="4"/>
  <c r="A770" i="4"/>
  <c r="K769" i="4"/>
  <c r="J769" i="4"/>
  <c r="H769" i="4"/>
  <c r="G769" i="4"/>
  <c r="F769" i="4"/>
  <c r="E769" i="4"/>
  <c r="D769" i="4"/>
  <c r="C769" i="4"/>
  <c r="B769" i="4"/>
  <c r="A769" i="4"/>
  <c r="K768" i="4"/>
  <c r="J768" i="4"/>
  <c r="I768" i="4"/>
  <c r="H768" i="4"/>
  <c r="G768" i="4"/>
  <c r="F768" i="4"/>
  <c r="E768" i="4"/>
  <c r="D768" i="4"/>
  <c r="C768" i="4"/>
  <c r="B768" i="4"/>
  <c r="A768" i="4"/>
  <c r="K767" i="4"/>
  <c r="J767" i="4"/>
  <c r="H767" i="4"/>
  <c r="G767" i="4"/>
  <c r="F767" i="4"/>
  <c r="E767" i="4"/>
  <c r="D767" i="4"/>
  <c r="C767" i="4"/>
  <c r="B767" i="4"/>
  <c r="A767" i="4"/>
  <c r="K766" i="4"/>
  <c r="J766" i="4"/>
  <c r="I766" i="4"/>
  <c r="H766" i="4"/>
  <c r="G766" i="4"/>
  <c r="F766" i="4"/>
  <c r="E766" i="4"/>
  <c r="D766" i="4"/>
  <c r="C766" i="4"/>
  <c r="B766" i="4"/>
  <c r="A766" i="4"/>
  <c r="K765" i="4"/>
  <c r="J765" i="4"/>
  <c r="I765" i="4"/>
  <c r="H765" i="4"/>
  <c r="G765" i="4"/>
  <c r="F765" i="4"/>
  <c r="E765" i="4"/>
  <c r="D765" i="4"/>
  <c r="C765" i="4"/>
  <c r="B765" i="4"/>
  <c r="A765" i="4"/>
  <c r="K764" i="4"/>
  <c r="J764" i="4"/>
  <c r="I764" i="4"/>
  <c r="H764" i="4"/>
  <c r="G764" i="4"/>
  <c r="F764" i="4"/>
  <c r="E764" i="4"/>
  <c r="D764" i="4"/>
  <c r="C764" i="4"/>
  <c r="B764" i="4"/>
  <c r="A764" i="4"/>
  <c r="K763" i="4"/>
  <c r="J763" i="4"/>
  <c r="H763" i="4"/>
  <c r="G763" i="4"/>
  <c r="F763" i="4"/>
  <c r="E763" i="4"/>
  <c r="D763" i="4"/>
  <c r="C763" i="4"/>
  <c r="B763" i="4"/>
  <c r="A763" i="4"/>
  <c r="K762" i="4"/>
  <c r="J762" i="4"/>
  <c r="I762" i="4"/>
  <c r="H762" i="4"/>
  <c r="G762" i="4"/>
  <c r="F762" i="4"/>
  <c r="E762" i="4"/>
  <c r="D762" i="4"/>
  <c r="C762" i="4"/>
  <c r="B762" i="4"/>
  <c r="A762" i="4"/>
  <c r="K761" i="4"/>
  <c r="J761" i="4"/>
  <c r="I761" i="4"/>
  <c r="G761" i="4"/>
  <c r="F761" i="4"/>
  <c r="E761" i="4"/>
  <c r="D761" i="4"/>
  <c r="C761" i="4"/>
  <c r="B761" i="4"/>
  <c r="A761" i="4"/>
  <c r="K760" i="4"/>
  <c r="J760" i="4"/>
  <c r="I760" i="4"/>
  <c r="G760" i="4"/>
  <c r="F760" i="4"/>
  <c r="E760" i="4"/>
  <c r="D760" i="4"/>
  <c r="C760" i="4"/>
  <c r="B760" i="4"/>
  <c r="A760" i="4"/>
  <c r="K759" i="4"/>
  <c r="J759" i="4"/>
  <c r="H759" i="4"/>
  <c r="G759" i="4"/>
  <c r="F759" i="4"/>
  <c r="E759" i="4"/>
  <c r="D759" i="4"/>
  <c r="C759" i="4"/>
  <c r="B759" i="4"/>
  <c r="A759" i="4"/>
  <c r="K758" i="4"/>
  <c r="J758" i="4"/>
  <c r="I758" i="4"/>
  <c r="H758" i="4"/>
  <c r="G758" i="4"/>
  <c r="F758" i="4"/>
  <c r="E758" i="4"/>
  <c r="D758" i="4"/>
  <c r="C758" i="4"/>
  <c r="B758" i="4"/>
  <c r="A758" i="4"/>
  <c r="K757" i="4"/>
  <c r="J757" i="4"/>
  <c r="I757" i="4"/>
  <c r="G757" i="4"/>
  <c r="F757" i="4"/>
  <c r="E757" i="4"/>
  <c r="D757" i="4"/>
  <c r="C757" i="4"/>
  <c r="B757" i="4"/>
  <c r="A757" i="4"/>
  <c r="K756" i="4"/>
  <c r="J756" i="4"/>
  <c r="I756" i="4"/>
  <c r="H756" i="4"/>
  <c r="G756" i="4"/>
  <c r="F756" i="4"/>
  <c r="E756" i="4"/>
  <c r="D756" i="4"/>
  <c r="C756" i="4"/>
  <c r="B756" i="4"/>
  <c r="A756" i="4"/>
  <c r="K755" i="4"/>
  <c r="J755" i="4"/>
  <c r="H755" i="4"/>
  <c r="G755" i="4"/>
  <c r="F755" i="4"/>
  <c r="E755" i="4"/>
  <c r="D755" i="4"/>
  <c r="C755" i="4"/>
  <c r="B755" i="4"/>
  <c r="A755" i="4"/>
  <c r="K754" i="4"/>
  <c r="J754" i="4"/>
  <c r="H754" i="4"/>
  <c r="G754" i="4"/>
  <c r="F754" i="4"/>
  <c r="E754" i="4"/>
  <c r="D754" i="4"/>
  <c r="C754" i="4"/>
  <c r="B754" i="4"/>
  <c r="A754" i="4"/>
  <c r="K753" i="4"/>
  <c r="J753" i="4"/>
  <c r="H753" i="4"/>
  <c r="G753" i="4"/>
  <c r="F753" i="4"/>
  <c r="E753" i="4"/>
  <c r="D753" i="4"/>
  <c r="C753" i="4"/>
  <c r="B753" i="4"/>
  <c r="A753" i="4"/>
  <c r="K752" i="4"/>
  <c r="J752" i="4"/>
  <c r="I752" i="4"/>
  <c r="H752" i="4"/>
  <c r="G752" i="4"/>
  <c r="F752" i="4"/>
  <c r="E752" i="4"/>
  <c r="D752" i="4"/>
  <c r="C752" i="4"/>
  <c r="B752" i="4"/>
  <c r="A752" i="4"/>
  <c r="K751" i="4"/>
  <c r="J751" i="4"/>
  <c r="I751" i="4"/>
  <c r="H751" i="4"/>
  <c r="G751" i="4"/>
  <c r="F751" i="4"/>
  <c r="E751" i="4"/>
  <c r="D751" i="4"/>
  <c r="C751" i="4"/>
  <c r="B751" i="4"/>
  <c r="A751" i="4"/>
  <c r="K750" i="4"/>
  <c r="J750" i="4"/>
  <c r="I750" i="4"/>
  <c r="H750" i="4"/>
  <c r="G750" i="4"/>
  <c r="F750" i="4"/>
  <c r="E750" i="4"/>
  <c r="D750" i="4"/>
  <c r="C750" i="4"/>
  <c r="B750" i="4"/>
  <c r="A750" i="4"/>
  <c r="K749" i="4"/>
  <c r="J749" i="4"/>
  <c r="H749" i="4"/>
  <c r="G749" i="4"/>
  <c r="F749" i="4"/>
  <c r="E749" i="4"/>
  <c r="D749" i="4"/>
  <c r="C749" i="4"/>
  <c r="B749" i="4"/>
  <c r="A749" i="4"/>
  <c r="K748" i="4"/>
  <c r="J748" i="4"/>
  <c r="H748" i="4"/>
  <c r="G748" i="4"/>
  <c r="F748" i="4"/>
  <c r="E748" i="4"/>
  <c r="D748" i="4"/>
  <c r="C748" i="4"/>
  <c r="B748" i="4"/>
  <c r="A748" i="4"/>
  <c r="K747" i="4"/>
  <c r="J747" i="4"/>
  <c r="I747" i="4"/>
  <c r="H747" i="4"/>
  <c r="G747" i="4"/>
  <c r="F747" i="4"/>
  <c r="E747" i="4"/>
  <c r="D747" i="4"/>
  <c r="C747" i="4"/>
  <c r="B747" i="4"/>
  <c r="A747" i="4"/>
  <c r="K746" i="4"/>
  <c r="J746" i="4"/>
  <c r="H746" i="4"/>
  <c r="G746" i="4"/>
  <c r="F746" i="4"/>
  <c r="E746" i="4"/>
  <c r="D746" i="4"/>
  <c r="C746" i="4"/>
  <c r="B746" i="4"/>
  <c r="A746" i="4"/>
  <c r="K745" i="4"/>
  <c r="J745" i="4"/>
  <c r="H745" i="4"/>
  <c r="G745" i="4"/>
  <c r="F745" i="4"/>
  <c r="E745" i="4"/>
  <c r="D745" i="4"/>
  <c r="C745" i="4"/>
  <c r="B745" i="4"/>
  <c r="A745" i="4"/>
  <c r="K744" i="4"/>
  <c r="J744" i="4"/>
  <c r="H744" i="4"/>
  <c r="G744" i="4"/>
  <c r="F744" i="4"/>
  <c r="E744" i="4"/>
  <c r="D744" i="4"/>
  <c r="C744" i="4"/>
  <c r="B744" i="4"/>
  <c r="A744" i="4"/>
  <c r="K743" i="4"/>
  <c r="J743" i="4"/>
  <c r="H743" i="4"/>
  <c r="G743" i="4"/>
  <c r="F743" i="4"/>
  <c r="E743" i="4"/>
  <c r="D743" i="4"/>
  <c r="C743" i="4"/>
  <c r="B743" i="4"/>
  <c r="A743" i="4"/>
  <c r="J742" i="4"/>
  <c r="I742" i="4"/>
  <c r="H742" i="4"/>
  <c r="G742" i="4"/>
  <c r="F742" i="4"/>
  <c r="E742" i="4"/>
  <c r="D742" i="4"/>
  <c r="C742" i="4"/>
  <c r="B742" i="4"/>
  <c r="A742" i="4"/>
  <c r="K741" i="4"/>
  <c r="J741" i="4"/>
  <c r="H741" i="4"/>
  <c r="G741" i="4"/>
  <c r="F741" i="4"/>
  <c r="E741" i="4"/>
  <c r="D741" i="4"/>
  <c r="C741" i="4"/>
  <c r="B741" i="4"/>
  <c r="A741" i="4"/>
  <c r="K740" i="4"/>
  <c r="J740" i="4"/>
  <c r="I740" i="4"/>
  <c r="H740" i="4"/>
  <c r="G740" i="4"/>
  <c r="F740" i="4"/>
  <c r="E740" i="4"/>
  <c r="D740" i="4"/>
  <c r="C740" i="4"/>
  <c r="B740" i="4"/>
  <c r="A740" i="4"/>
  <c r="K739" i="4"/>
  <c r="J739" i="4"/>
  <c r="I739" i="4"/>
  <c r="H739" i="4"/>
  <c r="G739" i="4"/>
  <c r="F739" i="4"/>
  <c r="E739" i="4"/>
  <c r="D739" i="4"/>
  <c r="C739" i="4"/>
  <c r="B739" i="4"/>
  <c r="A739" i="4"/>
  <c r="K738" i="4"/>
  <c r="J738" i="4"/>
  <c r="I738" i="4"/>
  <c r="H738" i="4"/>
  <c r="G738" i="4"/>
  <c r="F738" i="4"/>
  <c r="E738" i="4"/>
  <c r="D738" i="4"/>
  <c r="C738" i="4"/>
  <c r="B738" i="4"/>
  <c r="A738" i="4"/>
  <c r="K737" i="4"/>
  <c r="J737" i="4"/>
  <c r="H737" i="4"/>
  <c r="G737" i="4"/>
  <c r="F737" i="4"/>
  <c r="E737" i="4"/>
  <c r="D737" i="4"/>
  <c r="C737" i="4"/>
  <c r="B737" i="4"/>
  <c r="A737" i="4"/>
  <c r="K736" i="4"/>
  <c r="J736" i="4"/>
  <c r="H736" i="4"/>
  <c r="G736" i="4"/>
  <c r="F736" i="4"/>
  <c r="E736" i="4"/>
  <c r="D736" i="4"/>
  <c r="C736" i="4"/>
  <c r="B736" i="4"/>
  <c r="A736" i="4"/>
  <c r="K735" i="4"/>
  <c r="J735" i="4"/>
  <c r="I735" i="4"/>
  <c r="H735" i="4"/>
  <c r="G735" i="4"/>
  <c r="F735" i="4"/>
  <c r="E735" i="4"/>
  <c r="D735" i="4"/>
  <c r="C735" i="4"/>
  <c r="B735" i="4"/>
  <c r="A735" i="4"/>
  <c r="K734" i="4"/>
  <c r="J734" i="4"/>
  <c r="H734" i="4"/>
  <c r="G734" i="4"/>
  <c r="F734" i="4"/>
  <c r="E734" i="4"/>
  <c r="D734" i="4"/>
  <c r="C734" i="4"/>
  <c r="B734" i="4"/>
  <c r="A734" i="4"/>
  <c r="K733" i="4"/>
  <c r="J733" i="4"/>
  <c r="I733" i="4"/>
  <c r="H733" i="4"/>
  <c r="G733" i="4"/>
  <c r="F733" i="4"/>
  <c r="E733" i="4"/>
  <c r="D733" i="4"/>
  <c r="C733" i="4"/>
  <c r="B733" i="4"/>
  <c r="A733" i="4"/>
  <c r="K732" i="4"/>
  <c r="J732" i="4"/>
  <c r="I732" i="4"/>
  <c r="H732" i="4"/>
  <c r="G732" i="4"/>
  <c r="F732" i="4"/>
  <c r="E732" i="4"/>
  <c r="D732" i="4"/>
  <c r="C732" i="4"/>
  <c r="B732" i="4"/>
  <c r="A732" i="4"/>
  <c r="K731" i="4"/>
  <c r="J731" i="4"/>
  <c r="I731" i="4"/>
  <c r="H731" i="4"/>
  <c r="G731" i="4"/>
  <c r="F731" i="4"/>
  <c r="E731" i="4"/>
  <c r="D731" i="4"/>
  <c r="C731" i="4"/>
  <c r="B731" i="4"/>
  <c r="A731" i="4"/>
  <c r="K730" i="4"/>
  <c r="J730" i="4"/>
  <c r="H730" i="4"/>
  <c r="G730" i="4"/>
  <c r="F730" i="4"/>
  <c r="E730" i="4"/>
  <c r="D730" i="4"/>
  <c r="C730" i="4"/>
  <c r="B730" i="4"/>
  <c r="A730" i="4"/>
  <c r="K729" i="4"/>
  <c r="J729" i="4"/>
  <c r="I729" i="4"/>
  <c r="H729" i="4"/>
  <c r="G729" i="4"/>
  <c r="F729" i="4"/>
  <c r="E729" i="4"/>
  <c r="D729" i="4"/>
  <c r="C729" i="4"/>
  <c r="B729" i="4"/>
  <c r="A729" i="4"/>
  <c r="K728" i="4"/>
  <c r="J728" i="4"/>
  <c r="I728" i="4"/>
  <c r="H728" i="4"/>
  <c r="G728" i="4"/>
  <c r="F728" i="4"/>
  <c r="E728" i="4"/>
  <c r="D728" i="4"/>
  <c r="C728" i="4"/>
  <c r="B728" i="4"/>
  <c r="A728" i="4"/>
  <c r="K727" i="4"/>
  <c r="J727" i="4"/>
  <c r="H727" i="4"/>
  <c r="G727" i="4"/>
  <c r="F727" i="4"/>
  <c r="E727" i="4"/>
  <c r="D727" i="4"/>
  <c r="C727" i="4"/>
  <c r="B727" i="4"/>
  <c r="A727" i="4"/>
  <c r="K726" i="4"/>
  <c r="J726" i="4"/>
  <c r="H726" i="4"/>
  <c r="G726" i="4"/>
  <c r="F726" i="4"/>
  <c r="E726" i="4"/>
  <c r="D726" i="4"/>
  <c r="C726" i="4"/>
  <c r="B726" i="4"/>
  <c r="A726" i="4"/>
  <c r="K725" i="4"/>
  <c r="J725" i="4"/>
  <c r="H725" i="4"/>
  <c r="G725" i="4"/>
  <c r="F725" i="4"/>
  <c r="E725" i="4"/>
  <c r="D725" i="4"/>
  <c r="C725" i="4"/>
  <c r="B725" i="4"/>
  <c r="A725" i="4"/>
  <c r="K724" i="4"/>
  <c r="J724" i="4"/>
  <c r="H724" i="4"/>
  <c r="G724" i="4"/>
  <c r="F724" i="4"/>
  <c r="E724" i="4"/>
  <c r="D724" i="4"/>
  <c r="C724" i="4"/>
  <c r="B724" i="4"/>
  <c r="A724" i="4"/>
  <c r="K723" i="4"/>
  <c r="J723" i="4"/>
  <c r="H723" i="4"/>
  <c r="G723" i="4"/>
  <c r="F723" i="4"/>
  <c r="E723" i="4"/>
  <c r="D723" i="4"/>
  <c r="C723" i="4"/>
  <c r="B723" i="4"/>
  <c r="A723" i="4"/>
  <c r="J722" i="4"/>
  <c r="I722" i="4"/>
  <c r="H722" i="4"/>
  <c r="G722" i="4"/>
  <c r="F722" i="4"/>
  <c r="E722" i="4"/>
  <c r="D722" i="4"/>
  <c r="C722" i="4"/>
  <c r="B722" i="4"/>
  <c r="A722" i="4"/>
  <c r="K721" i="4"/>
  <c r="J721" i="4"/>
  <c r="H721" i="4"/>
  <c r="G721" i="4"/>
  <c r="F721" i="4"/>
  <c r="E721" i="4"/>
  <c r="D721" i="4"/>
  <c r="C721" i="4"/>
  <c r="B721" i="4"/>
  <c r="A721" i="4"/>
  <c r="K720" i="4"/>
  <c r="J720" i="4"/>
  <c r="H720" i="4"/>
  <c r="G720" i="4"/>
  <c r="F720" i="4"/>
  <c r="E720" i="4"/>
  <c r="D720" i="4"/>
  <c r="C720" i="4"/>
  <c r="B720" i="4"/>
  <c r="A720" i="4"/>
  <c r="K719" i="4"/>
  <c r="J719" i="4"/>
  <c r="H719" i="4"/>
  <c r="G719" i="4"/>
  <c r="F719" i="4"/>
  <c r="E719" i="4"/>
  <c r="D719" i="4"/>
  <c r="C719" i="4"/>
  <c r="B719" i="4"/>
  <c r="A719" i="4"/>
  <c r="K718" i="4"/>
  <c r="J718" i="4"/>
  <c r="H718" i="4"/>
  <c r="G718" i="4"/>
  <c r="F718" i="4"/>
  <c r="E718" i="4"/>
  <c r="D718" i="4"/>
  <c r="C718" i="4"/>
  <c r="B718" i="4"/>
  <c r="A718" i="4"/>
  <c r="K717" i="4"/>
  <c r="J717" i="4"/>
  <c r="I717" i="4"/>
  <c r="H717" i="4"/>
  <c r="G717" i="4"/>
  <c r="F717" i="4"/>
  <c r="E717" i="4"/>
  <c r="D717" i="4"/>
  <c r="C717" i="4"/>
  <c r="B717" i="4"/>
  <c r="A717" i="4"/>
  <c r="K716" i="4"/>
  <c r="J716" i="4"/>
  <c r="I716" i="4"/>
  <c r="H716" i="4"/>
  <c r="G716" i="4"/>
  <c r="F716" i="4"/>
  <c r="E716" i="4"/>
  <c r="D716" i="4"/>
  <c r="C716" i="4"/>
  <c r="B716" i="4"/>
  <c r="A716" i="4"/>
  <c r="K715" i="4"/>
  <c r="J715" i="4"/>
  <c r="H715" i="4"/>
  <c r="G715" i="4"/>
  <c r="F715" i="4"/>
  <c r="E715" i="4"/>
  <c r="D715" i="4"/>
  <c r="C715" i="4"/>
  <c r="B715" i="4"/>
  <c r="A715" i="4"/>
  <c r="K714" i="4"/>
  <c r="J714" i="4"/>
  <c r="I714" i="4"/>
  <c r="H714" i="4"/>
  <c r="G714" i="4"/>
  <c r="F714" i="4"/>
  <c r="E714" i="4"/>
  <c r="D714" i="4"/>
  <c r="C714" i="4"/>
  <c r="B714" i="4"/>
  <c r="A714" i="4"/>
  <c r="K713" i="4"/>
  <c r="J713" i="4"/>
  <c r="I713" i="4"/>
  <c r="H713" i="4"/>
  <c r="G713" i="4"/>
  <c r="F713" i="4"/>
  <c r="E713" i="4"/>
  <c r="D713" i="4"/>
  <c r="C713" i="4"/>
  <c r="B713" i="4"/>
  <c r="A713" i="4"/>
  <c r="K712" i="4"/>
  <c r="J712" i="4"/>
  <c r="H712" i="4"/>
  <c r="G712" i="4"/>
  <c r="F712" i="4"/>
  <c r="E712" i="4"/>
  <c r="D712" i="4"/>
  <c r="C712" i="4"/>
  <c r="B712" i="4"/>
  <c r="A712" i="4"/>
  <c r="K711" i="4"/>
  <c r="J711" i="4"/>
  <c r="I711" i="4"/>
  <c r="H711" i="4"/>
  <c r="G711" i="4"/>
  <c r="F711" i="4"/>
  <c r="E711" i="4"/>
  <c r="D711" i="4"/>
  <c r="C711" i="4"/>
  <c r="B711" i="4"/>
  <c r="A711" i="4"/>
  <c r="K710" i="4"/>
  <c r="J710" i="4"/>
  <c r="I710" i="4"/>
  <c r="H710" i="4"/>
  <c r="G710" i="4"/>
  <c r="F710" i="4"/>
  <c r="E710" i="4"/>
  <c r="D710" i="4"/>
  <c r="C710" i="4"/>
  <c r="B710" i="4"/>
  <c r="A710" i="4"/>
  <c r="K709" i="4"/>
  <c r="J709" i="4"/>
  <c r="I709" i="4"/>
  <c r="H709" i="4"/>
  <c r="G709" i="4"/>
  <c r="F709" i="4"/>
  <c r="E709" i="4"/>
  <c r="D709" i="4"/>
  <c r="C709" i="4"/>
  <c r="B709" i="4"/>
  <c r="A709" i="4"/>
  <c r="K708" i="4"/>
  <c r="J708" i="4"/>
  <c r="I708" i="4"/>
  <c r="H708" i="4"/>
  <c r="G708" i="4"/>
  <c r="F708" i="4"/>
  <c r="E708" i="4"/>
  <c r="D708" i="4"/>
  <c r="C708" i="4"/>
  <c r="B708" i="4"/>
  <c r="A708" i="4"/>
  <c r="K707" i="4"/>
  <c r="J707" i="4"/>
  <c r="I707" i="4"/>
  <c r="H707" i="4"/>
  <c r="G707" i="4"/>
  <c r="F707" i="4"/>
  <c r="E707" i="4"/>
  <c r="D707" i="4"/>
  <c r="C707" i="4"/>
  <c r="B707" i="4"/>
  <c r="A707" i="4"/>
  <c r="K706" i="4"/>
  <c r="J706" i="4"/>
  <c r="I706" i="4"/>
  <c r="H706" i="4"/>
  <c r="G706" i="4"/>
  <c r="F706" i="4"/>
  <c r="E706" i="4"/>
  <c r="D706" i="4"/>
  <c r="C706" i="4"/>
  <c r="B706" i="4"/>
  <c r="A706" i="4"/>
  <c r="K705" i="4"/>
  <c r="J705" i="4"/>
  <c r="I705" i="4"/>
  <c r="H705" i="4"/>
  <c r="G705" i="4"/>
  <c r="F705" i="4"/>
  <c r="E705" i="4"/>
  <c r="D705" i="4"/>
  <c r="C705" i="4"/>
  <c r="B705" i="4"/>
  <c r="A705" i="4"/>
  <c r="K704" i="4"/>
  <c r="J704" i="4"/>
  <c r="I704" i="4"/>
  <c r="H704" i="4"/>
  <c r="G704" i="4"/>
  <c r="F704" i="4"/>
  <c r="E704" i="4"/>
  <c r="D704" i="4"/>
  <c r="C704" i="4"/>
  <c r="B704" i="4"/>
  <c r="A704" i="4"/>
  <c r="K703" i="4"/>
  <c r="J703" i="4"/>
  <c r="I703" i="4"/>
  <c r="H703" i="4"/>
  <c r="G703" i="4"/>
  <c r="F703" i="4"/>
  <c r="E703" i="4"/>
  <c r="D703" i="4"/>
  <c r="C703" i="4"/>
  <c r="B703" i="4"/>
  <c r="A703" i="4"/>
  <c r="K702" i="4"/>
  <c r="J702" i="4"/>
  <c r="I702" i="4"/>
  <c r="H702" i="4"/>
  <c r="G702" i="4"/>
  <c r="F702" i="4"/>
  <c r="E702" i="4"/>
  <c r="D702" i="4"/>
  <c r="C702" i="4"/>
  <c r="B702" i="4"/>
  <c r="A702" i="4"/>
  <c r="K701" i="4"/>
  <c r="J701" i="4"/>
  <c r="I701" i="4"/>
  <c r="H701" i="4"/>
  <c r="G701" i="4"/>
  <c r="F701" i="4"/>
  <c r="E701" i="4"/>
  <c r="D701" i="4"/>
  <c r="C701" i="4"/>
  <c r="B701" i="4"/>
  <c r="A701" i="4"/>
  <c r="K700" i="4"/>
  <c r="J700" i="4"/>
  <c r="H700" i="4"/>
  <c r="G700" i="4"/>
  <c r="F700" i="4"/>
  <c r="E700" i="4"/>
  <c r="D700" i="4"/>
  <c r="C700" i="4"/>
  <c r="B700" i="4"/>
  <c r="A700" i="4"/>
  <c r="K699" i="4"/>
  <c r="J699" i="4"/>
  <c r="I699" i="4"/>
  <c r="H699" i="4"/>
  <c r="G699" i="4"/>
  <c r="F699" i="4"/>
  <c r="E699" i="4"/>
  <c r="D699" i="4"/>
  <c r="C699" i="4"/>
  <c r="B699" i="4"/>
  <c r="A699" i="4"/>
  <c r="K698" i="4"/>
  <c r="J698" i="4"/>
  <c r="I698" i="4"/>
  <c r="H698" i="4"/>
  <c r="G698" i="4"/>
  <c r="F698" i="4"/>
  <c r="E698" i="4"/>
  <c r="D698" i="4"/>
  <c r="C698" i="4"/>
  <c r="B698" i="4"/>
  <c r="A698" i="4"/>
  <c r="K697" i="4"/>
  <c r="J697" i="4"/>
  <c r="H697" i="4"/>
  <c r="G697" i="4"/>
  <c r="F697" i="4"/>
  <c r="E697" i="4"/>
  <c r="D697" i="4"/>
  <c r="C697" i="4"/>
  <c r="B697" i="4"/>
  <c r="A697" i="4"/>
  <c r="K696" i="4"/>
  <c r="J696" i="4"/>
  <c r="I696" i="4"/>
  <c r="H696" i="4"/>
  <c r="G696" i="4"/>
  <c r="F696" i="4"/>
  <c r="E696" i="4"/>
  <c r="D696" i="4"/>
  <c r="C696" i="4"/>
  <c r="B696" i="4"/>
  <c r="A696" i="4"/>
  <c r="K695" i="4"/>
  <c r="J695" i="4"/>
  <c r="H695" i="4"/>
  <c r="G695" i="4"/>
  <c r="F695" i="4"/>
  <c r="E695" i="4"/>
  <c r="D695" i="4"/>
  <c r="C695" i="4"/>
  <c r="B695" i="4"/>
  <c r="A695" i="4"/>
  <c r="K694" i="4"/>
  <c r="J694" i="4"/>
  <c r="I694" i="4"/>
  <c r="H694" i="4"/>
  <c r="G694" i="4"/>
  <c r="F694" i="4"/>
  <c r="E694" i="4"/>
  <c r="D694" i="4"/>
  <c r="C694" i="4"/>
  <c r="B694" i="4"/>
  <c r="A694" i="4"/>
  <c r="K693" i="4"/>
  <c r="J693" i="4"/>
  <c r="H693" i="4"/>
  <c r="G693" i="4"/>
  <c r="F693" i="4"/>
  <c r="E693" i="4"/>
  <c r="D693" i="4"/>
  <c r="C693" i="4"/>
  <c r="B693" i="4"/>
  <c r="A693" i="4"/>
  <c r="K692" i="4"/>
  <c r="J692" i="4"/>
  <c r="I692" i="4"/>
  <c r="H692" i="4"/>
  <c r="G692" i="4"/>
  <c r="F692" i="4"/>
  <c r="E692" i="4"/>
  <c r="D692" i="4"/>
  <c r="C692" i="4"/>
  <c r="B692" i="4"/>
  <c r="A692" i="4"/>
  <c r="K691" i="4"/>
  <c r="J691" i="4"/>
  <c r="I691" i="4"/>
  <c r="H691" i="4"/>
  <c r="G691" i="4"/>
  <c r="F691" i="4"/>
  <c r="E691" i="4"/>
  <c r="D691" i="4"/>
  <c r="C691" i="4"/>
  <c r="B691" i="4"/>
  <c r="A691" i="4"/>
  <c r="K690" i="4"/>
  <c r="J690" i="4"/>
  <c r="H690" i="4"/>
  <c r="G690" i="4"/>
  <c r="F690" i="4"/>
  <c r="E690" i="4"/>
  <c r="D690" i="4"/>
  <c r="C690" i="4"/>
  <c r="B690" i="4"/>
  <c r="A690" i="4"/>
  <c r="K689" i="4"/>
  <c r="J689" i="4"/>
  <c r="I689" i="4"/>
  <c r="H689" i="4"/>
  <c r="G689" i="4"/>
  <c r="F689" i="4"/>
  <c r="E689" i="4"/>
  <c r="D689" i="4"/>
  <c r="C689" i="4"/>
  <c r="B689" i="4"/>
  <c r="A689" i="4"/>
  <c r="K688" i="4"/>
  <c r="J688" i="4"/>
  <c r="I688" i="4"/>
  <c r="H688" i="4"/>
  <c r="G688" i="4"/>
  <c r="F688" i="4"/>
  <c r="E688" i="4"/>
  <c r="D688" i="4"/>
  <c r="C688" i="4"/>
  <c r="B688" i="4"/>
  <c r="A688" i="4"/>
  <c r="K687" i="4"/>
  <c r="J687" i="4"/>
  <c r="I687" i="4"/>
  <c r="H687" i="4"/>
  <c r="G687" i="4"/>
  <c r="F687" i="4"/>
  <c r="E687" i="4"/>
  <c r="D687" i="4"/>
  <c r="C687" i="4"/>
  <c r="B687" i="4"/>
  <c r="A687" i="4"/>
  <c r="K686" i="4"/>
  <c r="J686" i="4"/>
  <c r="I686" i="4"/>
  <c r="H686" i="4"/>
  <c r="G686" i="4"/>
  <c r="F686" i="4"/>
  <c r="E686" i="4"/>
  <c r="D686" i="4"/>
  <c r="C686" i="4"/>
  <c r="B686" i="4"/>
  <c r="A686" i="4"/>
  <c r="K685" i="4"/>
  <c r="J685" i="4"/>
  <c r="H685" i="4"/>
  <c r="G685" i="4"/>
  <c r="F685" i="4"/>
  <c r="E685" i="4"/>
  <c r="D685" i="4"/>
  <c r="C685" i="4"/>
  <c r="B685" i="4"/>
  <c r="A685" i="4"/>
  <c r="K684" i="4"/>
  <c r="J684" i="4"/>
  <c r="H684" i="4"/>
  <c r="G684" i="4"/>
  <c r="F684" i="4"/>
  <c r="E684" i="4"/>
  <c r="D684" i="4"/>
  <c r="C684" i="4"/>
  <c r="B684" i="4"/>
  <c r="A684" i="4"/>
  <c r="K683" i="4"/>
  <c r="J683" i="4"/>
  <c r="I683" i="4"/>
  <c r="H683" i="4"/>
  <c r="G683" i="4"/>
  <c r="F683" i="4"/>
  <c r="E683" i="4"/>
  <c r="D683" i="4"/>
  <c r="C683" i="4"/>
  <c r="B683" i="4"/>
  <c r="A683" i="4"/>
  <c r="K682" i="4"/>
  <c r="J682" i="4"/>
  <c r="I682" i="4"/>
  <c r="H682" i="4"/>
  <c r="G682" i="4"/>
  <c r="F682" i="4"/>
  <c r="E682" i="4"/>
  <c r="D682" i="4"/>
  <c r="C682" i="4"/>
  <c r="B682" i="4"/>
  <c r="A682" i="4"/>
  <c r="K681" i="4"/>
  <c r="J681" i="4"/>
  <c r="I681" i="4"/>
  <c r="H681" i="4"/>
  <c r="G681" i="4"/>
  <c r="F681" i="4"/>
  <c r="E681" i="4"/>
  <c r="D681" i="4"/>
  <c r="C681" i="4"/>
  <c r="B681" i="4"/>
  <c r="A681" i="4"/>
  <c r="K680" i="4"/>
  <c r="J680" i="4"/>
  <c r="I680" i="4"/>
  <c r="H680" i="4"/>
  <c r="G680" i="4"/>
  <c r="F680" i="4"/>
  <c r="E680" i="4"/>
  <c r="D680" i="4"/>
  <c r="C680" i="4"/>
  <c r="B680" i="4"/>
  <c r="A680" i="4"/>
  <c r="K679" i="4"/>
  <c r="J679" i="4"/>
  <c r="I679" i="4"/>
  <c r="H679" i="4"/>
  <c r="G679" i="4"/>
  <c r="F679" i="4"/>
  <c r="E679" i="4"/>
  <c r="D679" i="4"/>
  <c r="C679" i="4"/>
  <c r="B679" i="4"/>
  <c r="A679" i="4"/>
  <c r="K678" i="4"/>
  <c r="J678" i="4"/>
  <c r="I678" i="4"/>
  <c r="H678" i="4"/>
  <c r="G678" i="4"/>
  <c r="F678" i="4"/>
  <c r="E678" i="4"/>
  <c r="D678" i="4"/>
  <c r="C678" i="4"/>
  <c r="B678" i="4"/>
  <c r="A678" i="4"/>
  <c r="K677" i="4"/>
  <c r="J677" i="4"/>
  <c r="I677" i="4"/>
  <c r="H677" i="4"/>
  <c r="G677" i="4"/>
  <c r="F677" i="4"/>
  <c r="E677" i="4"/>
  <c r="D677" i="4"/>
  <c r="C677" i="4"/>
  <c r="B677" i="4"/>
  <c r="A677" i="4"/>
  <c r="K676" i="4"/>
  <c r="J676" i="4"/>
  <c r="H676" i="4"/>
  <c r="G676" i="4"/>
  <c r="F676" i="4"/>
  <c r="E676" i="4"/>
  <c r="D676" i="4"/>
  <c r="C676" i="4"/>
  <c r="B676" i="4"/>
  <c r="A676" i="4"/>
  <c r="K675" i="4"/>
  <c r="J675" i="4"/>
  <c r="I675" i="4"/>
  <c r="H675" i="4"/>
  <c r="G675" i="4"/>
  <c r="F675" i="4"/>
  <c r="E675" i="4"/>
  <c r="D675" i="4"/>
  <c r="C675" i="4"/>
  <c r="B675" i="4"/>
  <c r="A675" i="4"/>
  <c r="K674" i="4"/>
  <c r="J674" i="4"/>
  <c r="H674" i="4"/>
  <c r="G674" i="4"/>
  <c r="F674" i="4"/>
  <c r="E674" i="4"/>
  <c r="D674" i="4"/>
  <c r="C674" i="4"/>
  <c r="B674" i="4"/>
  <c r="A674" i="4"/>
  <c r="K673" i="4"/>
  <c r="J673" i="4"/>
  <c r="I673" i="4"/>
  <c r="H673" i="4"/>
  <c r="G673" i="4"/>
  <c r="F673" i="4"/>
  <c r="E673" i="4"/>
  <c r="D673" i="4"/>
  <c r="C673" i="4"/>
  <c r="B673" i="4"/>
  <c r="A673" i="4"/>
  <c r="K672" i="4"/>
  <c r="J672" i="4"/>
  <c r="I672" i="4"/>
  <c r="H672" i="4"/>
  <c r="G672" i="4"/>
  <c r="F672" i="4"/>
  <c r="E672" i="4"/>
  <c r="D672" i="4"/>
  <c r="C672" i="4"/>
  <c r="B672" i="4"/>
  <c r="A672" i="4"/>
  <c r="K671" i="4"/>
  <c r="J671" i="4"/>
  <c r="I671" i="4"/>
  <c r="H671" i="4"/>
  <c r="G671" i="4"/>
  <c r="F671" i="4"/>
  <c r="E671" i="4"/>
  <c r="D671" i="4"/>
  <c r="C671" i="4"/>
  <c r="B671" i="4"/>
  <c r="A671" i="4"/>
  <c r="K670" i="4"/>
  <c r="J670" i="4"/>
  <c r="H670" i="4"/>
  <c r="G670" i="4"/>
  <c r="F670" i="4"/>
  <c r="E670" i="4"/>
  <c r="D670" i="4"/>
  <c r="C670" i="4"/>
  <c r="B670" i="4"/>
  <c r="A670" i="4"/>
  <c r="K669" i="4"/>
  <c r="J669" i="4"/>
  <c r="H669" i="4"/>
  <c r="G669" i="4"/>
  <c r="F669" i="4"/>
  <c r="E669" i="4"/>
  <c r="D669" i="4"/>
  <c r="C669" i="4"/>
  <c r="B669" i="4"/>
  <c r="A669" i="4"/>
  <c r="K668" i="4"/>
  <c r="J668" i="4"/>
  <c r="H668" i="4"/>
  <c r="G668" i="4"/>
  <c r="F668" i="4"/>
  <c r="E668" i="4"/>
  <c r="D668" i="4"/>
  <c r="C668" i="4"/>
  <c r="B668" i="4"/>
  <c r="A668" i="4"/>
  <c r="K667" i="4"/>
  <c r="J667" i="4"/>
  <c r="H667" i="4"/>
  <c r="G667" i="4"/>
  <c r="F667" i="4"/>
  <c r="E667" i="4"/>
  <c r="D667" i="4"/>
  <c r="C667" i="4"/>
  <c r="B667" i="4"/>
  <c r="A667" i="4"/>
  <c r="K666" i="4"/>
  <c r="J666" i="4"/>
  <c r="H666" i="4"/>
  <c r="G666" i="4"/>
  <c r="F666" i="4"/>
  <c r="E666" i="4"/>
  <c r="D666" i="4"/>
  <c r="C666" i="4"/>
  <c r="B666" i="4"/>
  <c r="A666" i="4"/>
  <c r="K665" i="4"/>
  <c r="J665" i="4"/>
  <c r="H665" i="4"/>
  <c r="G665" i="4"/>
  <c r="F665" i="4"/>
  <c r="E665" i="4"/>
  <c r="D665" i="4"/>
  <c r="C665" i="4"/>
  <c r="B665" i="4"/>
  <c r="A665" i="4"/>
  <c r="K664" i="4"/>
  <c r="J664" i="4"/>
  <c r="H664" i="4"/>
  <c r="G664" i="4"/>
  <c r="F664" i="4"/>
  <c r="E664" i="4"/>
  <c r="D664" i="4"/>
  <c r="C664" i="4"/>
  <c r="B664" i="4"/>
  <c r="A664" i="4"/>
  <c r="K663" i="4"/>
  <c r="J663" i="4"/>
  <c r="H663" i="4"/>
  <c r="G663" i="4"/>
  <c r="F663" i="4"/>
  <c r="E663" i="4"/>
  <c r="D663" i="4"/>
  <c r="C663" i="4"/>
  <c r="B663" i="4"/>
  <c r="A663" i="4"/>
  <c r="K662" i="4"/>
  <c r="J662" i="4"/>
  <c r="H662" i="4"/>
  <c r="G662" i="4"/>
  <c r="F662" i="4"/>
  <c r="E662" i="4"/>
  <c r="D662" i="4"/>
  <c r="C662" i="4"/>
  <c r="B662" i="4"/>
  <c r="A662" i="4"/>
  <c r="K661" i="4"/>
  <c r="J661" i="4"/>
  <c r="H661" i="4"/>
  <c r="G661" i="4"/>
  <c r="F661" i="4"/>
  <c r="E661" i="4"/>
  <c r="D661" i="4"/>
  <c r="C661" i="4"/>
  <c r="B661" i="4"/>
  <c r="A661" i="4"/>
  <c r="K660" i="4"/>
  <c r="J660" i="4"/>
  <c r="H660" i="4"/>
  <c r="G660" i="4"/>
  <c r="F660" i="4"/>
  <c r="E660" i="4"/>
  <c r="D660" i="4"/>
  <c r="C660" i="4"/>
  <c r="B660" i="4"/>
  <c r="A660" i="4"/>
  <c r="K659" i="4"/>
  <c r="J659" i="4"/>
  <c r="H659" i="4"/>
  <c r="G659" i="4"/>
  <c r="F659" i="4"/>
  <c r="E659" i="4"/>
  <c r="D659" i="4"/>
  <c r="C659" i="4"/>
  <c r="B659" i="4"/>
  <c r="A659" i="4"/>
  <c r="K658" i="4"/>
  <c r="J658" i="4"/>
  <c r="H658" i="4"/>
  <c r="G658" i="4"/>
  <c r="F658" i="4"/>
  <c r="E658" i="4"/>
  <c r="D658" i="4"/>
  <c r="C658" i="4"/>
  <c r="B658" i="4"/>
  <c r="A658" i="4"/>
  <c r="K657" i="4"/>
  <c r="J657" i="4"/>
  <c r="H657" i="4"/>
  <c r="G657" i="4"/>
  <c r="F657" i="4"/>
  <c r="E657" i="4"/>
  <c r="D657" i="4"/>
  <c r="C657" i="4"/>
  <c r="B657" i="4"/>
  <c r="A657" i="4"/>
  <c r="K656" i="4"/>
  <c r="J656" i="4"/>
  <c r="H656" i="4"/>
  <c r="G656" i="4"/>
  <c r="F656" i="4"/>
  <c r="E656" i="4"/>
  <c r="D656" i="4"/>
  <c r="C656" i="4"/>
  <c r="B656" i="4"/>
  <c r="A656" i="4"/>
  <c r="K655" i="4"/>
  <c r="J655" i="4"/>
  <c r="H655" i="4"/>
  <c r="G655" i="4"/>
  <c r="F655" i="4"/>
  <c r="E655" i="4"/>
  <c r="D655" i="4"/>
  <c r="C655" i="4"/>
  <c r="B655" i="4"/>
  <c r="A655" i="4"/>
  <c r="K654" i="4"/>
  <c r="J654" i="4"/>
  <c r="H654" i="4"/>
  <c r="G654" i="4"/>
  <c r="F654" i="4"/>
  <c r="E654" i="4"/>
  <c r="D654" i="4"/>
  <c r="C654" i="4"/>
  <c r="B654" i="4"/>
  <c r="A654" i="4"/>
  <c r="J653" i="4"/>
  <c r="G653" i="4"/>
  <c r="F653" i="4"/>
  <c r="E653" i="4"/>
  <c r="D653" i="4"/>
  <c r="C653" i="4"/>
  <c r="B653" i="4"/>
  <c r="A653" i="4"/>
  <c r="J652" i="4"/>
  <c r="I652" i="4"/>
  <c r="H652" i="4"/>
  <c r="G652" i="4"/>
  <c r="F652" i="4"/>
  <c r="E652" i="4"/>
  <c r="D652" i="4"/>
  <c r="C652" i="4"/>
  <c r="B652" i="4"/>
  <c r="A652" i="4"/>
  <c r="K651" i="4"/>
  <c r="J651" i="4"/>
  <c r="G651" i="4"/>
  <c r="F651" i="4"/>
  <c r="E651" i="4"/>
  <c r="D651" i="4"/>
  <c r="C651" i="4"/>
  <c r="B651" i="4"/>
  <c r="A651" i="4"/>
  <c r="K650" i="4"/>
  <c r="J650" i="4"/>
  <c r="I650" i="4"/>
  <c r="H650" i="4"/>
  <c r="G650" i="4"/>
  <c r="F650" i="4"/>
  <c r="E650" i="4"/>
  <c r="D650" i="4"/>
  <c r="C650" i="4"/>
  <c r="B650" i="4"/>
  <c r="A650" i="4"/>
  <c r="K649" i="4"/>
  <c r="J649" i="4"/>
  <c r="I649" i="4"/>
  <c r="H649" i="4"/>
  <c r="G649" i="4"/>
  <c r="F649" i="4"/>
  <c r="E649" i="4"/>
  <c r="D649" i="4"/>
  <c r="C649" i="4"/>
  <c r="B649" i="4"/>
  <c r="A649" i="4"/>
  <c r="K648" i="4"/>
  <c r="J648" i="4"/>
  <c r="H648" i="4"/>
  <c r="G648" i="4"/>
  <c r="F648" i="4"/>
  <c r="E648" i="4"/>
  <c r="D648" i="4"/>
  <c r="C648" i="4"/>
  <c r="B648" i="4"/>
  <c r="A648" i="4"/>
  <c r="K647" i="4"/>
  <c r="J647" i="4"/>
  <c r="I647" i="4"/>
  <c r="H647" i="4"/>
  <c r="G647" i="4"/>
  <c r="F647" i="4"/>
  <c r="E647" i="4"/>
  <c r="D647" i="4"/>
  <c r="C647" i="4"/>
  <c r="B647" i="4"/>
  <c r="A647" i="4"/>
  <c r="K646" i="4"/>
  <c r="J646" i="4"/>
  <c r="I646" i="4"/>
  <c r="H646" i="4"/>
  <c r="G646" i="4"/>
  <c r="F646" i="4"/>
  <c r="E646" i="4"/>
  <c r="D646" i="4"/>
  <c r="C646" i="4"/>
  <c r="B646" i="4"/>
  <c r="A646" i="4"/>
  <c r="K645" i="4"/>
  <c r="J645" i="4"/>
  <c r="I645" i="4"/>
  <c r="H645" i="4"/>
  <c r="G645" i="4"/>
  <c r="F645" i="4"/>
  <c r="E645" i="4"/>
  <c r="D645" i="4"/>
  <c r="C645" i="4"/>
  <c r="B645" i="4"/>
  <c r="A645" i="4"/>
  <c r="K644" i="4"/>
  <c r="J644" i="4"/>
  <c r="I644" i="4"/>
  <c r="H644" i="4"/>
  <c r="G644" i="4"/>
  <c r="F644" i="4"/>
  <c r="E644" i="4"/>
  <c r="D644" i="4"/>
  <c r="C644" i="4"/>
  <c r="B644" i="4"/>
  <c r="A644" i="4"/>
  <c r="K643" i="4"/>
  <c r="J643" i="4"/>
  <c r="I643" i="4"/>
  <c r="H643" i="4"/>
  <c r="G643" i="4"/>
  <c r="F643" i="4"/>
  <c r="E643" i="4"/>
  <c r="D643" i="4"/>
  <c r="C643" i="4"/>
  <c r="B643" i="4"/>
  <c r="A643" i="4"/>
  <c r="K642" i="4"/>
  <c r="J642" i="4"/>
  <c r="I642" i="4"/>
  <c r="H642" i="4"/>
  <c r="G642" i="4"/>
  <c r="F642" i="4"/>
  <c r="E642" i="4"/>
  <c r="D642" i="4"/>
  <c r="C642" i="4"/>
  <c r="B642" i="4"/>
  <c r="A642" i="4"/>
  <c r="K641" i="4"/>
  <c r="J641" i="4"/>
  <c r="I641" i="4"/>
  <c r="H641" i="4"/>
  <c r="G641" i="4"/>
  <c r="F641" i="4"/>
  <c r="E641" i="4"/>
  <c r="D641" i="4"/>
  <c r="C641" i="4"/>
  <c r="B641" i="4"/>
  <c r="A641" i="4"/>
  <c r="K640" i="4"/>
  <c r="J640" i="4"/>
  <c r="I640" i="4"/>
  <c r="H640" i="4"/>
  <c r="G640" i="4"/>
  <c r="F640" i="4"/>
  <c r="E640" i="4"/>
  <c r="D640" i="4"/>
  <c r="C640" i="4"/>
  <c r="B640" i="4"/>
  <c r="A640" i="4"/>
  <c r="K639" i="4"/>
  <c r="J639" i="4"/>
  <c r="I639" i="4"/>
  <c r="H639" i="4"/>
  <c r="G639" i="4"/>
  <c r="F639" i="4"/>
  <c r="E639" i="4"/>
  <c r="D639" i="4"/>
  <c r="C639" i="4"/>
  <c r="B639" i="4"/>
  <c r="A639" i="4"/>
  <c r="K638" i="4"/>
  <c r="J638" i="4"/>
  <c r="I638" i="4"/>
  <c r="H638" i="4"/>
  <c r="G638" i="4"/>
  <c r="F638" i="4"/>
  <c r="E638" i="4"/>
  <c r="D638" i="4"/>
  <c r="C638" i="4"/>
  <c r="B638" i="4"/>
  <c r="A638" i="4"/>
  <c r="K637" i="4"/>
  <c r="J637" i="4"/>
  <c r="I637" i="4"/>
  <c r="H637" i="4"/>
  <c r="G637" i="4"/>
  <c r="F637" i="4"/>
  <c r="E637" i="4"/>
  <c r="D637" i="4"/>
  <c r="C637" i="4"/>
  <c r="B637" i="4"/>
  <c r="A637" i="4"/>
  <c r="K636" i="4"/>
  <c r="J636" i="4"/>
  <c r="I636" i="4"/>
  <c r="H636" i="4"/>
  <c r="G636" i="4"/>
  <c r="F636" i="4"/>
  <c r="E636" i="4"/>
  <c r="D636" i="4"/>
  <c r="C636" i="4"/>
  <c r="B636" i="4"/>
  <c r="A636" i="4"/>
  <c r="K635" i="4"/>
  <c r="J635" i="4"/>
  <c r="I635" i="4"/>
  <c r="H635" i="4"/>
  <c r="G635" i="4"/>
  <c r="F635" i="4"/>
  <c r="E635" i="4"/>
  <c r="D635" i="4"/>
  <c r="C635" i="4"/>
  <c r="B635" i="4"/>
  <c r="A635" i="4"/>
  <c r="K634" i="4"/>
  <c r="J634" i="4"/>
  <c r="I634" i="4"/>
  <c r="H634" i="4"/>
  <c r="G634" i="4"/>
  <c r="F634" i="4"/>
  <c r="E634" i="4"/>
  <c r="D634" i="4"/>
  <c r="C634" i="4"/>
  <c r="B634" i="4"/>
  <c r="A634" i="4"/>
  <c r="K633" i="4"/>
  <c r="J633" i="4"/>
  <c r="I633" i="4"/>
  <c r="H633" i="4"/>
  <c r="G633" i="4"/>
  <c r="F633" i="4"/>
  <c r="E633" i="4"/>
  <c r="D633" i="4"/>
  <c r="C633" i="4"/>
  <c r="B633" i="4"/>
  <c r="A633" i="4"/>
  <c r="K632" i="4"/>
  <c r="J632" i="4"/>
  <c r="I632" i="4"/>
  <c r="H632" i="4"/>
  <c r="G632" i="4"/>
  <c r="F632" i="4"/>
  <c r="E632" i="4"/>
  <c r="D632" i="4"/>
  <c r="C632" i="4"/>
  <c r="B632" i="4"/>
  <c r="A632" i="4"/>
  <c r="K631" i="4"/>
  <c r="J631" i="4"/>
  <c r="I631" i="4"/>
  <c r="H631" i="4"/>
  <c r="G631" i="4"/>
  <c r="F631" i="4"/>
  <c r="E631" i="4"/>
  <c r="D631" i="4"/>
  <c r="C631" i="4"/>
  <c r="B631" i="4"/>
  <c r="A631" i="4"/>
  <c r="K630" i="4"/>
  <c r="J630" i="4"/>
  <c r="I630" i="4"/>
  <c r="H630" i="4"/>
  <c r="G630" i="4"/>
  <c r="F630" i="4"/>
  <c r="E630" i="4"/>
  <c r="D630" i="4"/>
  <c r="C630" i="4"/>
  <c r="B630" i="4"/>
  <c r="A630" i="4"/>
  <c r="K629" i="4"/>
  <c r="J629" i="4"/>
  <c r="I629" i="4"/>
  <c r="H629" i="4"/>
  <c r="G629" i="4"/>
  <c r="F629" i="4"/>
  <c r="E629" i="4"/>
  <c r="D629" i="4"/>
  <c r="C629" i="4"/>
  <c r="B629" i="4"/>
  <c r="A629" i="4"/>
  <c r="K628" i="4"/>
  <c r="J628" i="4"/>
  <c r="I628" i="4"/>
  <c r="H628" i="4"/>
  <c r="G628" i="4"/>
  <c r="F628" i="4"/>
  <c r="E628" i="4"/>
  <c r="D628" i="4"/>
  <c r="C628" i="4"/>
  <c r="B628" i="4"/>
  <c r="A628" i="4"/>
  <c r="K627" i="4"/>
  <c r="J627" i="4"/>
  <c r="I627" i="4"/>
  <c r="H627" i="4"/>
  <c r="G627" i="4"/>
  <c r="F627" i="4"/>
  <c r="E627" i="4"/>
  <c r="D627" i="4"/>
  <c r="C627" i="4"/>
  <c r="B627" i="4"/>
  <c r="A627" i="4"/>
  <c r="K626" i="4"/>
  <c r="J626" i="4"/>
  <c r="I626" i="4"/>
  <c r="H626" i="4"/>
  <c r="G626" i="4"/>
  <c r="F626" i="4"/>
  <c r="E626" i="4"/>
  <c r="D626" i="4"/>
  <c r="C626" i="4"/>
  <c r="B626" i="4"/>
  <c r="A626" i="4"/>
  <c r="K625" i="4"/>
  <c r="J625" i="4"/>
  <c r="I625" i="4"/>
  <c r="H625" i="4"/>
  <c r="G625" i="4"/>
  <c r="F625" i="4"/>
  <c r="E625" i="4"/>
  <c r="D625" i="4"/>
  <c r="C625" i="4"/>
  <c r="B625" i="4"/>
  <c r="A625" i="4"/>
  <c r="K624" i="4"/>
  <c r="J624" i="4"/>
  <c r="I624" i="4"/>
  <c r="H624" i="4"/>
  <c r="G624" i="4"/>
  <c r="F624" i="4"/>
  <c r="E624" i="4"/>
  <c r="D624" i="4"/>
  <c r="C624" i="4"/>
  <c r="B624" i="4"/>
  <c r="A624" i="4"/>
  <c r="K623" i="4"/>
  <c r="J623" i="4"/>
  <c r="I623" i="4"/>
  <c r="H623" i="4"/>
  <c r="G623" i="4"/>
  <c r="F623" i="4"/>
  <c r="E623" i="4"/>
  <c r="D623" i="4"/>
  <c r="C623" i="4"/>
  <c r="B623" i="4"/>
  <c r="A623" i="4"/>
  <c r="K622" i="4"/>
  <c r="J622" i="4"/>
  <c r="I622" i="4"/>
  <c r="H622" i="4"/>
  <c r="G622" i="4"/>
  <c r="F622" i="4"/>
  <c r="E622" i="4"/>
  <c r="D622" i="4"/>
  <c r="C622" i="4"/>
  <c r="B622" i="4"/>
  <c r="A622" i="4"/>
  <c r="K621" i="4"/>
  <c r="J621" i="4"/>
  <c r="I621" i="4"/>
  <c r="H621" i="4"/>
  <c r="G621" i="4"/>
  <c r="F621" i="4"/>
  <c r="E621" i="4"/>
  <c r="D621" i="4"/>
  <c r="C621" i="4"/>
  <c r="B621" i="4"/>
  <c r="A621" i="4"/>
  <c r="K620" i="4"/>
  <c r="J620" i="4"/>
  <c r="I620" i="4"/>
  <c r="H620" i="4"/>
  <c r="G620" i="4"/>
  <c r="F620" i="4"/>
  <c r="E620" i="4"/>
  <c r="D620" i="4"/>
  <c r="C620" i="4"/>
  <c r="B620" i="4"/>
  <c r="A620" i="4"/>
  <c r="K619" i="4"/>
  <c r="J619" i="4"/>
  <c r="I619" i="4"/>
  <c r="H619" i="4"/>
  <c r="G619" i="4"/>
  <c r="F619" i="4"/>
  <c r="E619" i="4"/>
  <c r="D619" i="4"/>
  <c r="C619" i="4"/>
  <c r="B619" i="4"/>
  <c r="A619" i="4"/>
  <c r="K618" i="4"/>
  <c r="J618" i="4"/>
  <c r="I618" i="4"/>
  <c r="H618" i="4"/>
  <c r="G618" i="4"/>
  <c r="F618" i="4"/>
  <c r="E618" i="4"/>
  <c r="D618" i="4"/>
  <c r="C618" i="4"/>
  <c r="B618" i="4"/>
  <c r="A618" i="4"/>
  <c r="K617" i="4"/>
  <c r="J617" i="4"/>
  <c r="I617" i="4"/>
  <c r="H617" i="4"/>
  <c r="G617" i="4"/>
  <c r="F617" i="4"/>
  <c r="E617" i="4"/>
  <c r="D617" i="4"/>
  <c r="C617" i="4"/>
  <c r="B617" i="4"/>
  <c r="A617" i="4"/>
  <c r="K616" i="4"/>
  <c r="J616" i="4"/>
  <c r="I616" i="4"/>
  <c r="H616" i="4"/>
  <c r="G616" i="4"/>
  <c r="F616" i="4"/>
  <c r="E616" i="4"/>
  <c r="D616" i="4"/>
  <c r="C616" i="4"/>
  <c r="B616" i="4"/>
  <c r="A616" i="4"/>
  <c r="K615" i="4"/>
  <c r="J615" i="4"/>
  <c r="I615" i="4"/>
  <c r="H615" i="4"/>
  <c r="G615" i="4"/>
  <c r="F615" i="4"/>
  <c r="E615" i="4"/>
  <c r="D615" i="4"/>
  <c r="C615" i="4"/>
  <c r="B615" i="4"/>
  <c r="A615" i="4"/>
  <c r="K614" i="4"/>
  <c r="J614" i="4"/>
  <c r="I614" i="4"/>
  <c r="H614" i="4"/>
  <c r="G614" i="4"/>
  <c r="F614" i="4"/>
  <c r="E614" i="4"/>
  <c r="D614" i="4"/>
  <c r="C614" i="4"/>
  <c r="B614" i="4"/>
  <c r="A614" i="4"/>
  <c r="K613" i="4"/>
  <c r="J613" i="4"/>
  <c r="I613" i="4"/>
  <c r="H613" i="4"/>
  <c r="G613" i="4"/>
  <c r="F613" i="4"/>
  <c r="E613" i="4"/>
  <c r="D613" i="4"/>
  <c r="C613" i="4"/>
  <c r="B613" i="4"/>
  <c r="A613" i="4"/>
  <c r="K612" i="4"/>
  <c r="J612" i="4"/>
  <c r="I612" i="4"/>
  <c r="H612" i="4"/>
  <c r="G612" i="4"/>
  <c r="F612" i="4"/>
  <c r="E612" i="4"/>
  <c r="D612" i="4"/>
  <c r="C612" i="4"/>
  <c r="B612" i="4"/>
  <c r="A612" i="4"/>
  <c r="K611" i="4"/>
  <c r="J611" i="4"/>
  <c r="I611" i="4"/>
  <c r="H611" i="4"/>
  <c r="G611" i="4"/>
  <c r="F611" i="4"/>
  <c r="E611" i="4"/>
  <c r="D611" i="4"/>
  <c r="C611" i="4"/>
  <c r="B611" i="4"/>
  <c r="A611" i="4"/>
  <c r="K610" i="4"/>
  <c r="J610" i="4"/>
  <c r="I610" i="4"/>
  <c r="H610" i="4"/>
  <c r="G610" i="4"/>
  <c r="F610" i="4"/>
  <c r="E610" i="4"/>
  <c r="D610" i="4"/>
  <c r="C610" i="4"/>
  <c r="B610" i="4"/>
  <c r="A610" i="4"/>
  <c r="K609" i="4"/>
  <c r="J609" i="4"/>
  <c r="I609" i="4"/>
  <c r="H609" i="4"/>
  <c r="G609" i="4"/>
  <c r="F609" i="4"/>
  <c r="E609" i="4"/>
  <c r="D609" i="4"/>
  <c r="C609" i="4"/>
  <c r="B609" i="4"/>
  <c r="A609" i="4"/>
  <c r="K608" i="4"/>
  <c r="J608" i="4"/>
  <c r="I608" i="4"/>
  <c r="H608" i="4"/>
  <c r="G608" i="4"/>
  <c r="F608" i="4"/>
  <c r="E608" i="4"/>
  <c r="D608" i="4"/>
  <c r="C608" i="4"/>
  <c r="B608" i="4"/>
  <c r="A608" i="4"/>
  <c r="K607" i="4"/>
  <c r="J607" i="4"/>
  <c r="I607" i="4"/>
  <c r="H607" i="4"/>
  <c r="G607" i="4"/>
  <c r="F607" i="4"/>
  <c r="E607" i="4"/>
  <c r="D607" i="4"/>
  <c r="C607" i="4"/>
  <c r="B607" i="4"/>
  <c r="A607" i="4"/>
  <c r="K606" i="4"/>
  <c r="J606" i="4"/>
  <c r="I606" i="4"/>
  <c r="H606" i="4"/>
  <c r="G606" i="4"/>
  <c r="F606" i="4"/>
  <c r="E606" i="4"/>
  <c r="D606" i="4"/>
  <c r="C606" i="4"/>
  <c r="B606" i="4"/>
  <c r="A606" i="4"/>
  <c r="K605" i="4"/>
  <c r="J605" i="4"/>
  <c r="I605" i="4"/>
  <c r="H605" i="4"/>
  <c r="G605" i="4"/>
  <c r="F605" i="4"/>
  <c r="E605" i="4"/>
  <c r="D605" i="4"/>
  <c r="C605" i="4"/>
  <c r="B605" i="4"/>
  <c r="A605" i="4"/>
  <c r="K604" i="4"/>
  <c r="J604" i="4"/>
  <c r="I604" i="4"/>
  <c r="H604" i="4"/>
  <c r="G604" i="4"/>
  <c r="F604" i="4"/>
  <c r="E604" i="4"/>
  <c r="D604" i="4"/>
  <c r="C604" i="4"/>
  <c r="B604" i="4"/>
  <c r="A604" i="4"/>
  <c r="K603" i="4"/>
  <c r="J603" i="4"/>
  <c r="I603" i="4"/>
  <c r="H603" i="4"/>
  <c r="G603" i="4"/>
  <c r="F603" i="4"/>
  <c r="E603" i="4"/>
  <c r="D603" i="4"/>
  <c r="C603" i="4"/>
  <c r="B603" i="4"/>
  <c r="A603" i="4"/>
  <c r="K602" i="4"/>
  <c r="J602" i="4"/>
  <c r="I602" i="4"/>
  <c r="H602" i="4"/>
  <c r="G602" i="4"/>
  <c r="F602" i="4"/>
  <c r="E602" i="4"/>
  <c r="D602" i="4"/>
  <c r="C602" i="4"/>
  <c r="B602" i="4"/>
  <c r="A602" i="4"/>
  <c r="K601" i="4"/>
  <c r="J601" i="4"/>
  <c r="I601" i="4"/>
  <c r="H601" i="4"/>
  <c r="G601" i="4"/>
  <c r="F601" i="4"/>
  <c r="E601" i="4"/>
  <c r="D601" i="4"/>
  <c r="C601" i="4"/>
  <c r="B601" i="4"/>
  <c r="A601" i="4"/>
  <c r="K600" i="4"/>
  <c r="J600" i="4"/>
  <c r="I600" i="4"/>
  <c r="H600" i="4"/>
  <c r="G600" i="4"/>
  <c r="F600" i="4"/>
  <c r="E600" i="4"/>
  <c r="D600" i="4"/>
  <c r="C600" i="4"/>
  <c r="B600" i="4"/>
  <c r="A600" i="4"/>
  <c r="K599" i="4"/>
  <c r="J599" i="4"/>
  <c r="I599" i="4"/>
  <c r="H599" i="4"/>
  <c r="G599" i="4"/>
  <c r="F599" i="4"/>
  <c r="E599" i="4"/>
  <c r="D599" i="4"/>
  <c r="C599" i="4"/>
  <c r="B599" i="4"/>
  <c r="A599" i="4"/>
  <c r="K598" i="4"/>
  <c r="J598" i="4"/>
  <c r="I598" i="4"/>
  <c r="H598" i="4"/>
  <c r="G598" i="4"/>
  <c r="F598" i="4"/>
  <c r="E598" i="4"/>
  <c r="D598" i="4"/>
  <c r="C598" i="4"/>
  <c r="B598" i="4"/>
  <c r="A598" i="4"/>
  <c r="K597" i="4"/>
  <c r="J597" i="4"/>
  <c r="I597" i="4"/>
  <c r="H597" i="4"/>
  <c r="G597" i="4"/>
  <c r="F597" i="4"/>
  <c r="E597" i="4"/>
  <c r="D597" i="4"/>
  <c r="C597" i="4"/>
  <c r="B597" i="4"/>
  <c r="A597" i="4"/>
  <c r="K596" i="4"/>
  <c r="J596" i="4"/>
  <c r="I596" i="4"/>
  <c r="H596" i="4"/>
  <c r="G596" i="4"/>
  <c r="F596" i="4"/>
  <c r="E596" i="4"/>
  <c r="D596" i="4"/>
  <c r="C596" i="4"/>
  <c r="B596" i="4"/>
  <c r="A596" i="4"/>
  <c r="K595" i="4"/>
  <c r="J595" i="4"/>
  <c r="I595" i="4"/>
  <c r="H595" i="4"/>
  <c r="G595" i="4"/>
  <c r="F595" i="4"/>
  <c r="E595" i="4"/>
  <c r="D595" i="4"/>
  <c r="C595" i="4"/>
  <c r="B595" i="4"/>
  <c r="A595" i="4"/>
  <c r="K594" i="4"/>
  <c r="J594" i="4"/>
  <c r="I594" i="4"/>
  <c r="H594" i="4"/>
  <c r="G594" i="4"/>
  <c r="F594" i="4"/>
  <c r="E594" i="4"/>
  <c r="D594" i="4"/>
  <c r="C594" i="4"/>
  <c r="B594" i="4"/>
  <c r="A594" i="4"/>
  <c r="K593" i="4"/>
  <c r="J593" i="4"/>
  <c r="I593" i="4"/>
  <c r="H593" i="4"/>
  <c r="G593" i="4"/>
  <c r="F593" i="4"/>
  <c r="E593" i="4"/>
  <c r="D593" i="4"/>
  <c r="C593" i="4"/>
  <c r="B593" i="4"/>
  <c r="A593" i="4"/>
  <c r="K592" i="4"/>
  <c r="J592" i="4"/>
  <c r="I592" i="4"/>
  <c r="H592" i="4"/>
  <c r="G592" i="4"/>
  <c r="F592" i="4"/>
  <c r="E592" i="4"/>
  <c r="D592" i="4"/>
  <c r="C592" i="4"/>
  <c r="B592" i="4"/>
  <c r="A592" i="4"/>
  <c r="K591" i="4"/>
  <c r="J591" i="4"/>
  <c r="I591" i="4"/>
  <c r="H591" i="4"/>
  <c r="G591" i="4"/>
  <c r="F591" i="4"/>
  <c r="E591" i="4"/>
  <c r="D591" i="4"/>
  <c r="C591" i="4"/>
  <c r="B591" i="4"/>
  <c r="A591" i="4"/>
  <c r="K590" i="4"/>
  <c r="J590" i="4"/>
  <c r="I590" i="4"/>
  <c r="H590" i="4"/>
  <c r="G590" i="4"/>
  <c r="F590" i="4"/>
  <c r="E590" i="4"/>
  <c r="D590" i="4"/>
  <c r="C590" i="4"/>
  <c r="B590" i="4"/>
  <c r="A590" i="4"/>
  <c r="K589" i="4"/>
  <c r="J589" i="4"/>
  <c r="I589" i="4"/>
  <c r="H589" i="4"/>
  <c r="G589" i="4"/>
  <c r="F589" i="4"/>
  <c r="E589" i="4"/>
  <c r="D589" i="4"/>
  <c r="C589" i="4"/>
  <c r="B589" i="4"/>
  <c r="A589" i="4"/>
  <c r="K588" i="4"/>
  <c r="J588" i="4"/>
  <c r="I588" i="4"/>
  <c r="H588" i="4"/>
  <c r="G588" i="4"/>
  <c r="F588" i="4"/>
  <c r="E588" i="4"/>
  <c r="D588" i="4"/>
  <c r="C588" i="4"/>
  <c r="B588" i="4"/>
  <c r="A588" i="4"/>
  <c r="K587" i="4"/>
  <c r="J587" i="4"/>
  <c r="I587" i="4"/>
  <c r="H587" i="4"/>
  <c r="G587" i="4"/>
  <c r="F587" i="4"/>
  <c r="E587" i="4"/>
  <c r="D587" i="4"/>
  <c r="C587" i="4"/>
  <c r="B587" i="4"/>
  <c r="A587" i="4"/>
  <c r="K586" i="4"/>
  <c r="J586" i="4"/>
  <c r="I586" i="4"/>
  <c r="H586" i="4"/>
  <c r="G586" i="4"/>
  <c r="F586" i="4"/>
  <c r="E586" i="4"/>
  <c r="D586" i="4"/>
  <c r="C586" i="4"/>
  <c r="B586" i="4"/>
  <c r="A586" i="4"/>
  <c r="K585" i="4"/>
  <c r="J585" i="4"/>
  <c r="I585" i="4"/>
  <c r="H585" i="4"/>
  <c r="G585" i="4"/>
  <c r="F585" i="4"/>
  <c r="E585" i="4"/>
  <c r="D585" i="4"/>
  <c r="C585" i="4"/>
  <c r="B585" i="4"/>
  <c r="A585" i="4"/>
  <c r="K584" i="4"/>
  <c r="J584" i="4"/>
  <c r="I584" i="4"/>
  <c r="H584" i="4"/>
  <c r="G584" i="4"/>
  <c r="F584" i="4"/>
  <c r="E584" i="4"/>
  <c r="D584" i="4"/>
  <c r="C584" i="4"/>
  <c r="B584" i="4"/>
  <c r="A584" i="4"/>
  <c r="K583" i="4"/>
  <c r="J583" i="4"/>
  <c r="I583" i="4"/>
  <c r="H583" i="4"/>
  <c r="G583" i="4"/>
  <c r="F583" i="4"/>
  <c r="E583" i="4"/>
  <c r="D583" i="4"/>
  <c r="C583" i="4"/>
  <c r="B583" i="4"/>
  <c r="A583" i="4"/>
  <c r="K582" i="4"/>
  <c r="J582" i="4"/>
  <c r="I582" i="4"/>
  <c r="H582" i="4"/>
  <c r="G582" i="4"/>
  <c r="F582" i="4"/>
  <c r="E582" i="4"/>
  <c r="D582" i="4"/>
  <c r="C582" i="4"/>
  <c r="B582" i="4"/>
  <c r="A582" i="4"/>
  <c r="K581" i="4"/>
  <c r="J581" i="4"/>
  <c r="I581" i="4"/>
  <c r="H581" i="4"/>
  <c r="G581" i="4"/>
  <c r="F581" i="4"/>
  <c r="E581" i="4"/>
  <c r="D581" i="4"/>
  <c r="C581" i="4"/>
  <c r="B581" i="4"/>
  <c r="A581" i="4"/>
  <c r="K580" i="4"/>
  <c r="J580" i="4"/>
  <c r="I580" i="4"/>
  <c r="H580" i="4"/>
  <c r="G580" i="4"/>
  <c r="F580" i="4"/>
  <c r="E580" i="4"/>
  <c r="D580" i="4"/>
  <c r="C580" i="4"/>
  <c r="B580" i="4"/>
  <c r="A580" i="4"/>
  <c r="K579" i="4"/>
  <c r="J579" i="4"/>
  <c r="I579" i="4"/>
  <c r="H579" i="4"/>
  <c r="G579" i="4"/>
  <c r="F579" i="4"/>
  <c r="E579" i="4"/>
  <c r="D579" i="4"/>
  <c r="C579" i="4"/>
  <c r="B579" i="4"/>
  <c r="A579" i="4"/>
  <c r="K578" i="4"/>
  <c r="J578" i="4"/>
  <c r="I578" i="4"/>
  <c r="H578" i="4"/>
  <c r="G578" i="4"/>
  <c r="F578" i="4"/>
  <c r="E578" i="4"/>
  <c r="D578" i="4"/>
  <c r="C578" i="4"/>
  <c r="B578" i="4"/>
  <c r="A578" i="4"/>
  <c r="K577" i="4"/>
  <c r="J577" i="4"/>
  <c r="I577" i="4"/>
  <c r="H577" i="4"/>
  <c r="G577" i="4"/>
  <c r="F577" i="4"/>
  <c r="E577" i="4"/>
  <c r="D577" i="4"/>
  <c r="C577" i="4"/>
  <c r="B577" i="4"/>
  <c r="A577" i="4"/>
  <c r="K576" i="4"/>
  <c r="J576" i="4"/>
  <c r="I576" i="4"/>
  <c r="H576" i="4"/>
  <c r="G576" i="4"/>
  <c r="F576" i="4"/>
  <c r="E576" i="4"/>
  <c r="D576" i="4"/>
  <c r="C576" i="4"/>
  <c r="B576" i="4"/>
  <c r="A576" i="4"/>
  <c r="K575" i="4"/>
  <c r="J575" i="4"/>
  <c r="I575" i="4"/>
  <c r="H575" i="4"/>
  <c r="G575" i="4"/>
  <c r="F575" i="4"/>
  <c r="E575" i="4"/>
  <c r="D575" i="4"/>
  <c r="C575" i="4"/>
  <c r="B575" i="4"/>
  <c r="A575" i="4"/>
  <c r="K574" i="4"/>
  <c r="J574" i="4"/>
  <c r="I574" i="4"/>
  <c r="H574" i="4"/>
  <c r="G574" i="4"/>
  <c r="F574" i="4"/>
  <c r="E574" i="4"/>
  <c r="D574" i="4"/>
  <c r="C574" i="4"/>
  <c r="B574" i="4"/>
  <c r="A574" i="4"/>
  <c r="K573" i="4"/>
  <c r="J573" i="4"/>
  <c r="I573" i="4"/>
  <c r="H573" i="4"/>
  <c r="G573" i="4"/>
  <c r="F573" i="4"/>
  <c r="E573" i="4"/>
  <c r="D573" i="4"/>
  <c r="C573" i="4"/>
  <c r="B573" i="4"/>
  <c r="A573" i="4"/>
  <c r="K572" i="4"/>
  <c r="J572" i="4"/>
  <c r="I572" i="4"/>
  <c r="H572" i="4"/>
  <c r="G572" i="4"/>
  <c r="F572" i="4"/>
  <c r="E572" i="4"/>
  <c r="D572" i="4"/>
  <c r="C572" i="4"/>
  <c r="B572" i="4"/>
  <c r="A572" i="4"/>
  <c r="K571" i="4"/>
  <c r="J571" i="4"/>
  <c r="I571" i="4"/>
  <c r="H571" i="4"/>
  <c r="G571" i="4"/>
  <c r="F571" i="4"/>
  <c r="E571" i="4"/>
  <c r="D571" i="4"/>
  <c r="C571" i="4"/>
  <c r="B571" i="4"/>
  <c r="A571" i="4"/>
  <c r="K570" i="4"/>
  <c r="J570" i="4"/>
  <c r="I570" i="4"/>
  <c r="H570" i="4"/>
  <c r="G570" i="4"/>
  <c r="F570" i="4"/>
  <c r="E570" i="4"/>
  <c r="D570" i="4"/>
  <c r="C570" i="4"/>
  <c r="B570" i="4"/>
  <c r="A570" i="4"/>
  <c r="K569" i="4"/>
  <c r="J569" i="4"/>
  <c r="I569" i="4"/>
  <c r="H569" i="4"/>
  <c r="G569" i="4"/>
  <c r="F569" i="4"/>
  <c r="E569" i="4"/>
  <c r="D569" i="4"/>
  <c r="C569" i="4"/>
  <c r="B569" i="4"/>
  <c r="A569" i="4"/>
  <c r="K568" i="4"/>
  <c r="J568" i="4"/>
  <c r="I568" i="4"/>
  <c r="H568" i="4"/>
  <c r="G568" i="4"/>
  <c r="F568" i="4"/>
  <c r="E568" i="4"/>
  <c r="D568" i="4"/>
  <c r="C568" i="4"/>
  <c r="B568" i="4"/>
  <c r="A568" i="4"/>
  <c r="K567" i="4"/>
  <c r="J567" i="4"/>
  <c r="I567" i="4"/>
  <c r="H567" i="4"/>
  <c r="G567" i="4"/>
  <c r="F567" i="4"/>
  <c r="E567" i="4"/>
  <c r="D567" i="4"/>
  <c r="C567" i="4"/>
  <c r="B567" i="4"/>
  <c r="A567" i="4"/>
  <c r="K566" i="4"/>
  <c r="J566" i="4"/>
  <c r="I566" i="4"/>
  <c r="H566" i="4"/>
  <c r="G566" i="4"/>
  <c r="F566" i="4"/>
  <c r="E566" i="4"/>
  <c r="D566" i="4"/>
  <c r="C566" i="4"/>
  <c r="B566" i="4"/>
  <c r="A566" i="4"/>
  <c r="K565" i="4"/>
  <c r="J565" i="4"/>
  <c r="I565" i="4"/>
  <c r="H565" i="4"/>
  <c r="G565" i="4"/>
  <c r="F565" i="4"/>
  <c r="E565" i="4"/>
  <c r="D565" i="4"/>
  <c r="C565" i="4"/>
  <c r="B565" i="4"/>
  <c r="A565" i="4"/>
  <c r="K564" i="4"/>
  <c r="J564" i="4"/>
  <c r="I564" i="4"/>
  <c r="H564" i="4"/>
  <c r="G564" i="4"/>
  <c r="F564" i="4"/>
  <c r="E564" i="4"/>
  <c r="D564" i="4"/>
  <c r="C564" i="4"/>
  <c r="B564" i="4"/>
  <c r="A564" i="4"/>
  <c r="K563" i="4"/>
  <c r="J563" i="4"/>
  <c r="I563" i="4"/>
  <c r="H563" i="4"/>
  <c r="G563" i="4"/>
  <c r="F563" i="4"/>
  <c r="E563" i="4"/>
  <c r="D563" i="4"/>
  <c r="C563" i="4"/>
  <c r="B563" i="4"/>
  <c r="A563" i="4"/>
  <c r="K562" i="4"/>
  <c r="J562" i="4"/>
  <c r="I562" i="4"/>
  <c r="H562" i="4"/>
  <c r="G562" i="4"/>
  <c r="F562" i="4"/>
  <c r="E562" i="4"/>
  <c r="D562" i="4"/>
  <c r="C562" i="4"/>
  <c r="B562" i="4"/>
  <c r="A562" i="4"/>
  <c r="K561" i="4"/>
  <c r="J561" i="4"/>
  <c r="I561" i="4"/>
  <c r="H561" i="4"/>
  <c r="G561" i="4"/>
  <c r="F561" i="4"/>
  <c r="E561" i="4"/>
  <c r="D561" i="4"/>
  <c r="C561" i="4"/>
  <c r="B561" i="4"/>
  <c r="A561" i="4"/>
  <c r="K560" i="4"/>
  <c r="J560" i="4"/>
  <c r="I560" i="4"/>
  <c r="H560" i="4"/>
  <c r="G560" i="4"/>
  <c r="F560" i="4"/>
  <c r="E560" i="4"/>
  <c r="D560" i="4"/>
  <c r="C560" i="4"/>
  <c r="B560" i="4"/>
  <c r="A560" i="4"/>
  <c r="K559" i="4"/>
  <c r="J559" i="4"/>
  <c r="I559" i="4"/>
  <c r="H559" i="4"/>
  <c r="G559" i="4"/>
  <c r="F559" i="4"/>
  <c r="E559" i="4"/>
  <c r="D559" i="4"/>
  <c r="C559" i="4"/>
  <c r="B559" i="4"/>
  <c r="A559" i="4"/>
  <c r="K558" i="4"/>
  <c r="J558" i="4"/>
  <c r="I558" i="4"/>
  <c r="H558" i="4"/>
  <c r="G558" i="4"/>
  <c r="F558" i="4"/>
  <c r="E558" i="4"/>
  <c r="D558" i="4"/>
  <c r="C558" i="4"/>
  <c r="B558" i="4"/>
  <c r="A558" i="4"/>
  <c r="K557" i="4"/>
  <c r="J557" i="4"/>
  <c r="I557" i="4"/>
  <c r="H557" i="4"/>
  <c r="G557" i="4"/>
  <c r="F557" i="4"/>
  <c r="E557" i="4"/>
  <c r="D557" i="4"/>
  <c r="C557" i="4"/>
  <c r="B557" i="4"/>
  <c r="A557" i="4"/>
  <c r="K556" i="4"/>
  <c r="J556" i="4"/>
  <c r="I556" i="4"/>
  <c r="H556" i="4"/>
  <c r="G556" i="4"/>
  <c r="F556" i="4"/>
  <c r="E556" i="4"/>
  <c r="D556" i="4"/>
  <c r="C556" i="4"/>
  <c r="B556" i="4"/>
  <c r="A556" i="4"/>
  <c r="K555" i="4"/>
  <c r="J555" i="4"/>
  <c r="I555" i="4"/>
  <c r="H555" i="4"/>
  <c r="G555" i="4"/>
  <c r="F555" i="4"/>
  <c r="E555" i="4"/>
  <c r="D555" i="4"/>
  <c r="C555" i="4"/>
  <c r="B555" i="4"/>
  <c r="A555" i="4"/>
  <c r="K554" i="4"/>
  <c r="J554" i="4"/>
  <c r="I554" i="4"/>
  <c r="H554" i="4"/>
  <c r="G554" i="4"/>
  <c r="F554" i="4"/>
  <c r="E554" i="4"/>
  <c r="D554" i="4"/>
  <c r="C554" i="4"/>
  <c r="B554" i="4"/>
  <c r="A554" i="4"/>
  <c r="K553" i="4"/>
  <c r="J553" i="4"/>
  <c r="I553" i="4"/>
  <c r="H553" i="4"/>
  <c r="G553" i="4"/>
  <c r="F553" i="4"/>
  <c r="E553" i="4"/>
  <c r="D553" i="4"/>
  <c r="C553" i="4"/>
  <c r="B553" i="4"/>
  <c r="A553" i="4"/>
  <c r="K552" i="4"/>
  <c r="J552" i="4"/>
  <c r="I552" i="4"/>
  <c r="H552" i="4"/>
  <c r="G552" i="4"/>
  <c r="F552" i="4"/>
  <c r="E552" i="4"/>
  <c r="D552" i="4"/>
  <c r="C552" i="4"/>
  <c r="B552" i="4"/>
  <c r="A552" i="4"/>
  <c r="K551" i="4"/>
  <c r="J551" i="4"/>
  <c r="I551" i="4"/>
  <c r="H551" i="4"/>
  <c r="G551" i="4"/>
  <c r="F551" i="4"/>
  <c r="E551" i="4"/>
  <c r="D551" i="4"/>
  <c r="C551" i="4"/>
  <c r="B551" i="4"/>
  <c r="A551" i="4"/>
  <c r="K550" i="4"/>
  <c r="J550" i="4"/>
  <c r="H550" i="4"/>
  <c r="G550" i="4"/>
  <c r="F550" i="4"/>
  <c r="E550" i="4"/>
  <c r="D550" i="4"/>
  <c r="C550" i="4"/>
  <c r="B550" i="4"/>
  <c r="A550" i="4"/>
  <c r="K549" i="4"/>
  <c r="I549" i="4"/>
  <c r="H549" i="4"/>
  <c r="G549" i="4"/>
  <c r="F549" i="4"/>
  <c r="E549" i="4"/>
  <c r="D549" i="4"/>
  <c r="C549" i="4"/>
  <c r="B549" i="4"/>
  <c r="A549" i="4"/>
  <c r="K548" i="4"/>
  <c r="J548" i="4"/>
  <c r="I548" i="4"/>
  <c r="H548" i="4"/>
  <c r="G548" i="4"/>
  <c r="F548" i="4"/>
  <c r="E548" i="4"/>
  <c r="D548" i="4"/>
  <c r="C548" i="4"/>
  <c r="B548" i="4"/>
  <c r="A548" i="4"/>
  <c r="K547" i="4"/>
  <c r="J547" i="4"/>
  <c r="I547" i="4"/>
  <c r="H547" i="4"/>
  <c r="G547" i="4"/>
  <c r="F547" i="4"/>
  <c r="E547" i="4"/>
  <c r="D547" i="4"/>
  <c r="C547" i="4"/>
  <c r="B547" i="4"/>
  <c r="A547" i="4"/>
  <c r="K546" i="4"/>
  <c r="J546" i="4"/>
  <c r="I546" i="4"/>
  <c r="H546" i="4"/>
  <c r="G546" i="4"/>
  <c r="F546" i="4"/>
  <c r="E546" i="4"/>
  <c r="D546" i="4"/>
  <c r="C546" i="4"/>
  <c r="B546" i="4"/>
  <c r="A546" i="4"/>
  <c r="K545" i="4"/>
  <c r="J545" i="4"/>
  <c r="I545" i="4"/>
  <c r="H545" i="4"/>
  <c r="G545" i="4"/>
  <c r="F545" i="4"/>
  <c r="E545" i="4"/>
  <c r="D545" i="4"/>
  <c r="C545" i="4"/>
  <c r="B545" i="4"/>
  <c r="A545" i="4"/>
  <c r="K544" i="4"/>
  <c r="J544" i="4"/>
  <c r="I544" i="4"/>
  <c r="H544" i="4"/>
  <c r="G544" i="4"/>
  <c r="F544" i="4"/>
  <c r="E544" i="4"/>
  <c r="D544" i="4"/>
  <c r="C544" i="4"/>
  <c r="B544" i="4"/>
  <c r="A544" i="4"/>
  <c r="K543" i="4"/>
  <c r="J543" i="4"/>
  <c r="I543" i="4"/>
  <c r="H543" i="4"/>
  <c r="G543" i="4"/>
  <c r="F543" i="4"/>
  <c r="E543" i="4"/>
  <c r="D543" i="4"/>
  <c r="C543" i="4"/>
  <c r="B543" i="4"/>
  <c r="A543" i="4"/>
  <c r="K542" i="4"/>
  <c r="J542" i="4"/>
  <c r="I542" i="4"/>
  <c r="H542" i="4"/>
  <c r="G542" i="4"/>
  <c r="F542" i="4"/>
  <c r="E542" i="4"/>
  <c r="D542" i="4"/>
  <c r="C542" i="4"/>
  <c r="B542" i="4"/>
  <c r="A542" i="4"/>
  <c r="K541" i="4"/>
  <c r="J541" i="4"/>
  <c r="I541" i="4"/>
  <c r="H541" i="4"/>
  <c r="G541" i="4"/>
  <c r="F541" i="4"/>
  <c r="E541" i="4"/>
  <c r="D541" i="4"/>
  <c r="C541" i="4"/>
  <c r="B541" i="4"/>
  <c r="A541" i="4"/>
  <c r="K540" i="4"/>
  <c r="J540" i="4"/>
  <c r="I540" i="4"/>
  <c r="H540" i="4"/>
  <c r="G540" i="4"/>
  <c r="F540" i="4"/>
  <c r="E540" i="4"/>
  <c r="D540" i="4"/>
  <c r="C540" i="4"/>
  <c r="B540" i="4"/>
  <c r="A540" i="4"/>
  <c r="K539" i="4"/>
  <c r="J539" i="4"/>
  <c r="I539" i="4"/>
  <c r="H539" i="4"/>
  <c r="G539" i="4"/>
  <c r="F539" i="4"/>
  <c r="E539" i="4"/>
  <c r="D539" i="4"/>
  <c r="C539" i="4"/>
  <c r="B539" i="4"/>
  <c r="A539" i="4"/>
  <c r="K538" i="4"/>
  <c r="J538" i="4"/>
  <c r="I538" i="4"/>
  <c r="H538" i="4"/>
  <c r="G538" i="4"/>
  <c r="F538" i="4"/>
  <c r="E538" i="4"/>
  <c r="D538" i="4"/>
  <c r="C538" i="4"/>
  <c r="B538" i="4"/>
  <c r="A538" i="4"/>
  <c r="K537" i="4"/>
  <c r="J537" i="4"/>
  <c r="I537" i="4"/>
  <c r="H537" i="4"/>
  <c r="G537" i="4"/>
  <c r="F537" i="4"/>
  <c r="E537" i="4"/>
  <c r="D537" i="4"/>
  <c r="C537" i="4"/>
  <c r="B537" i="4"/>
  <c r="A537" i="4"/>
  <c r="K536" i="4"/>
  <c r="J536" i="4"/>
  <c r="I536" i="4"/>
  <c r="H536" i="4"/>
  <c r="G536" i="4"/>
  <c r="F536" i="4"/>
  <c r="E536" i="4"/>
  <c r="D536" i="4"/>
  <c r="C536" i="4"/>
  <c r="B536" i="4"/>
  <c r="A536" i="4"/>
  <c r="K535" i="4"/>
  <c r="J535" i="4"/>
  <c r="I535" i="4"/>
  <c r="H535" i="4"/>
  <c r="G535" i="4"/>
  <c r="F535" i="4"/>
  <c r="E535" i="4"/>
  <c r="D535" i="4"/>
  <c r="C535" i="4"/>
  <c r="B535" i="4"/>
  <c r="A535" i="4"/>
  <c r="K534" i="4"/>
  <c r="J534" i="4"/>
  <c r="I534" i="4"/>
  <c r="H534" i="4"/>
  <c r="G534" i="4"/>
  <c r="F534" i="4"/>
  <c r="E534" i="4"/>
  <c r="D534" i="4"/>
  <c r="C534" i="4"/>
  <c r="B534" i="4"/>
  <c r="A534" i="4"/>
  <c r="K533" i="4"/>
  <c r="J533" i="4"/>
  <c r="I533" i="4"/>
  <c r="H533" i="4"/>
  <c r="G533" i="4"/>
  <c r="F533" i="4"/>
  <c r="E533" i="4"/>
  <c r="D533" i="4"/>
  <c r="C533" i="4"/>
  <c r="B533" i="4"/>
  <c r="A533" i="4"/>
  <c r="K532" i="4"/>
  <c r="J532" i="4"/>
  <c r="I532" i="4"/>
  <c r="H532" i="4"/>
  <c r="G532" i="4"/>
  <c r="F532" i="4"/>
  <c r="E532" i="4"/>
  <c r="D532" i="4"/>
  <c r="C532" i="4"/>
  <c r="B532" i="4"/>
  <c r="A532" i="4"/>
  <c r="K531" i="4"/>
  <c r="J531" i="4"/>
  <c r="I531" i="4"/>
  <c r="H531" i="4"/>
  <c r="G531" i="4"/>
  <c r="F531" i="4"/>
  <c r="E531" i="4"/>
  <c r="D531" i="4"/>
  <c r="C531" i="4"/>
  <c r="B531" i="4"/>
  <c r="A531" i="4"/>
  <c r="K530" i="4"/>
  <c r="J530" i="4"/>
  <c r="I530" i="4"/>
  <c r="H530" i="4"/>
  <c r="G530" i="4"/>
  <c r="F530" i="4"/>
  <c r="E530" i="4"/>
  <c r="D530" i="4"/>
  <c r="C530" i="4"/>
  <c r="B530" i="4"/>
  <c r="A530" i="4"/>
  <c r="K529" i="4"/>
  <c r="J529" i="4"/>
  <c r="I529" i="4"/>
  <c r="H529" i="4"/>
  <c r="G529" i="4"/>
  <c r="F529" i="4"/>
  <c r="E529" i="4"/>
  <c r="D529" i="4"/>
  <c r="C529" i="4"/>
  <c r="B529" i="4"/>
  <c r="A529" i="4"/>
  <c r="K528" i="4"/>
  <c r="J528" i="4"/>
  <c r="I528" i="4"/>
  <c r="H528" i="4"/>
  <c r="G528" i="4"/>
  <c r="F528" i="4"/>
  <c r="E528" i="4"/>
  <c r="D528" i="4"/>
  <c r="C528" i="4"/>
  <c r="B528" i="4"/>
  <c r="A528" i="4"/>
  <c r="K527" i="4"/>
  <c r="J527" i="4"/>
  <c r="I527" i="4"/>
  <c r="H527" i="4"/>
  <c r="G527" i="4"/>
  <c r="F527" i="4"/>
  <c r="E527" i="4"/>
  <c r="D527" i="4"/>
  <c r="C527" i="4"/>
  <c r="B527" i="4"/>
  <c r="A527" i="4"/>
  <c r="K526" i="4"/>
  <c r="J526" i="4"/>
  <c r="I526" i="4"/>
  <c r="H526" i="4"/>
  <c r="G526" i="4"/>
  <c r="F526" i="4"/>
  <c r="E526" i="4"/>
  <c r="D526" i="4"/>
  <c r="C526" i="4"/>
  <c r="B526" i="4"/>
  <c r="A526" i="4"/>
  <c r="K525" i="4"/>
  <c r="J525" i="4"/>
  <c r="I525" i="4"/>
  <c r="H525" i="4"/>
  <c r="G525" i="4"/>
  <c r="F525" i="4"/>
  <c r="E525" i="4"/>
  <c r="D525" i="4"/>
  <c r="C525" i="4"/>
  <c r="B525" i="4"/>
  <c r="A525" i="4"/>
  <c r="K524" i="4"/>
  <c r="J524" i="4"/>
  <c r="I524" i="4"/>
  <c r="H524" i="4"/>
  <c r="G524" i="4"/>
  <c r="F524" i="4"/>
  <c r="E524" i="4"/>
  <c r="D524" i="4"/>
  <c r="C524" i="4"/>
  <c r="B524" i="4"/>
  <c r="A524" i="4"/>
  <c r="K523" i="4"/>
  <c r="J523" i="4"/>
  <c r="I523" i="4"/>
  <c r="H523" i="4"/>
  <c r="G523" i="4"/>
  <c r="F523" i="4"/>
  <c r="E523" i="4"/>
  <c r="D523" i="4"/>
  <c r="C523" i="4"/>
  <c r="B523" i="4"/>
  <c r="A523" i="4"/>
  <c r="K522" i="4"/>
  <c r="J522" i="4"/>
  <c r="I522" i="4"/>
  <c r="H522" i="4"/>
  <c r="G522" i="4"/>
  <c r="F522" i="4"/>
  <c r="E522" i="4"/>
  <c r="D522" i="4"/>
  <c r="C522" i="4"/>
  <c r="B522" i="4"/>
  <c r="A522" i="4"/>
  <c r="K521" i="4"/>
  <c r="J521" i="4"/>
  <c r="I521" i="4"/>
  <c r="H521" i="4"/>
  <c r="G521" i="4"/>
  <c r="F521" i="4"/>
  <c r="E521" i="4"/>
  <c r="D521" i="4"/>
  <c r="C521" i="4"/>
  <c r="B521" i="4"/>
  <c r="A521" i="4"/>
  <c r="K520" i="4"/>
  <c r="J520" i="4"/>
  <c r="I520" i="4"/>
  <c r="H520" i="4"/>
  <c r="G520" i="4"/>
  <c r="F520" i="4"/>
  <c r="E520" i="4"/>
  <c r="D520" i="4"/>
  <c r="C520" i="4"/>
  <c r="B520" i="4"/>
  <c r="A520" i="4"/>
  <c r="K519" i="4"/>
  <c r="J519" i="4"/>
  <c r="I519" i="4"/>
  <c r="H519" i="4"/>
  <c r="G519" i="4"/>
  <c r="F519" i="4"/>
  <c r="E519" i="4"/>
  <c r="D519" i="4"/>
  <c r="C519" i="4"/>
  <c r="B519" i="4"/>
  <c r="A519" i="4"/>
  <c r="K518" i="4"/>
  <c r="J518" i="4"/>
  <c r="I518" i="4"/>
  <c r="H518" i="4"/>
  <c r="G518" i="4"/>
  <c r="F518" i="4"/>
  <c r="E518" i="4"/>
  <c r="D518" i="4"/>
  <c r="C518" i="4"/>
  <c r="B518" i="4"/>
  <c r="A518" i="4"/>
  <c r="K517" i="4"/>
  <c r="J517" i="4"/>
  <c r="I517" i="4"/>
  <c r="H517" i="4"/>
  <c r="G517" i="4"/>
  <c r="F517" i="4"/>
  <c r="E517" i="4"/>
  <c r="D517" i="4"/>
  <c r="C517" i="4"/>
  <c r="B517" i="4"/>
  <c r="A517" i="4"/>
  <c r="K516" i="4"/>
  <c r="J516" i="4"/>
  <c r="I516" i="4"/>
  <c r="H516" i="4"/>
  <c r="G516" i="4"/>
  <c r="F516" i="4"/>
  <c r="E516" i="4"/>
  <c r="D516" i="4"/>
  <c r="C516" i="4"/>
  <c r="B516" i="4"/>
  <c r="A516" i="4"/>
  <c r="K515" i="4"/>
  <c r="J515" i="4"/>
  <c r="I515" i="4"/>
  <c r="H515" i="4"/>
  <c r="G515" i="4"/>
  <c r="F515" i="4"/>
  <c r="E515" i="4"/>
  <c r="D515" i="4"/>
  <c r="C515" i="4"/>
  <c r="B515" i="4"/>
  <c r="A515" i="4"/>
  <c r="K514" i="4"/>
  <c r="J514" i="4"/>
  <c r="I514" i="4"/>
  <c r="H514" i="4"/>
  <c r="G514" i="4"/>
  <c r="F514" i="4"/>
  <c r="E514" i="4"/>
  <c r="D514" i="4"/>
  <c r="C514" i="4"/>
  <c r="B514" i="4"/>
  <c r="A514" i="4"/>
  <c r="K513" i="4"/>
  <c r="J513" i="4"/>
  <c r="I513" i="4"/>
  <c r="H513" i="4"/>
  <c r="G513" i="4"/>
  <c r="F513" i="4"/>
  <c r="E513" i="4"/>
  <c r="D513" i="4"/>
  <c r="C513" i="4"/>
  <c r="B513" i="4"/>
  <c r="A513" i="4"/>
  <c r="K512" i="4"/>
  <c r="J512" i="4"/>
  <c r="I512" i="4"/>
  <c r="H512" i="4"/>
  <c r="G512" i="4"/>
  <c r="F512" i="4"/>
  <c r="E512" i="4"/>
  <c r="D512" i="4"/>
  <c r="C512" i="4"/>
  <c r="B512" i="4"/>
  <c r="A512" i="4"/>
  <c r="K511" i="4"/>
  <c r="J511" i="4"/>
  <c r="I511" i="4"/>
  <c r="H511" i="4"/>
  <c r="G511" i="4"/>
  <c r="F511" i="4"/>
  <c r="E511" i="4"/>
  <c r="D511" i="4"/>
  <c r="C511" i="4"/>
  <c r="B511" i="4"/>
  <c r="A511" i="4"/>
  <c r="K510" i="4"/>
  <c r="J510" i="4"/>
  <c r="I510" i="4"/>
  <c r="H510" i="4"/>
  <c r="G510" i="4"/>
  <c r="F510" i="4"/>
  <c r="E510" i="4"/>
  <c r="D510" i="4"/>
  <c r="C510" i="4"/>
  <c r="B510" i="4"/>
  <c r="A510" i="4"/>
  <c r="K509" i="4"/>
  <c r="J509" i="4"/>
  <c r="I509" i="4"/>
  <c r="H509" i="4"/>
  <c r="G509" i="4"/>
  <c r="F509" i="4"/>
  <c r="E509" i="4"/>
  <c r="D509" i="4"/>
  <c r="C509" i="4"/>
  <c r="B509" i="4"/>
  <c r="A509" i="4"/>
  <c r="K508" i="4"/>
  <c r="J508" i="4"/>
  <c r="I508" i="4"/>
  <c r="H508" i="4"/>
  <c r="G508" i="4"/>
  <c r="F508" i="4"/>
  <c r="E508" i="4"/>
  <c r="D508" i="4"/>
  <c r="C508" i="4"/>
  <c r="B508" i="4"/>
  <c r="A508" i="4"/>
  <c r="K507" i="4"/>
  <c r="J507" i="4"/>
  <c r="I507" i="4"/>
  <c r="H507" i="4"/>
  <c r="G507" i="4"/>
  <c r="F507" i="4"/>
  <c r="E507" i="4"/>
  <c r="D507" i="4"/>
  <c r="C507" i="4"/>
  <c r="B507" i="4"/>
  <c r="A507" i="4"/>
  <c r="K506" i="4"/>
  <c r="J506" i="4"/>
  <c r="I506" i="4"/>
  <c r="H506" i="4"/>
  <c r="G506" i="4"/>
  <c r="F506" i="4"/>
  <c r="E506" i="4"/>
  <c r="D506" i="4"/>
  <c r="C506" i="4"/>
  <c r="B506" i="4"/>
  <c r="A506" i="4"/>
  <c r="K505" i="4"/>
  <c r="J505" i="4"/>
  <c r="I505" i="4"/>
  <c r="H505" i="4"/>
  <c r="G505" i="4"/>
  <c r="F505" i="4"/>
  <c r="E505" i="4"/>
  <c r="D505" i="4"/>
  <c r="C505" i="4"/>
  <c r="B505" i="4"/>
  <c r="A505" i="4"/>
  <c r="K504" i="4"/>
  <c r="J504" i="4"/>
  <c r="I504" i="4"/>
  <c r="H504" i="4"/>
  <c r="G504" i="4"/>
  <c r="F504" i="4"/>
  <c r="E504" i="4"/>
  <c r="D504" i="4"/>
  <c r="C504" i="4"/>
  <c r="B504" i="4"/>
  <c r="A504" i="4"/>
  <c r="K503" i="4"/>
  <c r="J503" i="4"/>
  <c r="I503" i="4"/>
  <c r="H503" i="4"/>
  <c r="G503" i="4"/>
  <c r="F503" i="4"/>
  <c r="E503" i="4"/>
  <c r="D503" i="4"/>
  <c r="C503" i="4"/>
  <c r="B503" i="4"/>
  <c r="A503" i="4"/>
  <c r="K502" i="4"/>
  <c r="J502" i="4"/>
  <c r="I502" i="4"/>
  <c r="H502" i="4"/>
  <c r="G502" i="4"/>
  <c r="F502" i="4"/>
  <c r="E502" i="4"/>
  <c r="D502" i="4"/>
  <c r="C502" i="4"/>
  <c r="B502" i="4"/>
  <c r="A502" i="4"/>
  <c r="K501" i="4"/>
  <c r="J501" i="4"/>
  <c r="I501" i="4"/>
  <c r="H501" i="4"/>
  <c r="G501" i="4"/>
  <c r="F501" i="4"/>
  <c r="E501" i="4"/>
  <c r="D501" i="4"/>
  <c r="C501" i="4"/>
  <c r="B501" i="4"/>
  <c r="A501" i="4"/>
  <c r="K500" i="4"/>
  <c r="J500" i="4"/>
  <c r="I500" i="4"/>
  <c r="H500" i="4"/>
  <c r="G500" i="4"/>
  <c r="F500" i="4"/>
  <c r="E500" i="4"/>
  <c r="D500" i="4"/>
  <c r="C500" i="4"/>
  <c r="B500" i="4"/>
  <c r="A500" i="4"/>
  <c r="K499" i="4"/>
  <c r="J499" i="4"/>
  <c r="I499" i="4"/>
  <c r="H499" i="4"/>
  <c r="G499" i="4"/>
  <c r="F499" i="4"/>
  <c r="E499" i="4"/>
  <c r="D499" i="4"/>
  <c r="C499" i="4"/>
  <c r="B499" i="4"/>
  <c r="A499" i="4"/>
  <c r="K498" i="4"/>
  <c r="J498" i="4"/>
  <c r="I498" i="4"/>
  <c r="H498" i="4"/>
  <c r="G498" i="4"/>
  <c r="F498" i="4"/>
  <c r="E498" i="4"/>
  <c r="D498" i="4"/>
  <c r="C498" i="4"/>
  <c r="B498" i="4"/>
  <c r="A498" i="4"/>
  <c r="K497" i="4"/>
  <c r="J497" i="4"/>
  <c r="I497" i="4"/>
  <c r="H497" i="4"/>
  <c r="G497" i="4"/>
  <c r="F497" i="4"/>
  <c r="E497" i="4"/>
  <c r="D497" i="4"/>
  <c r="C497" i="4"/>
  <c r="B497" i="4"/>
  <c r="A497" i="4"/>
  <c r="K496" i="4"/>
  <c r="J496" i="4"/>
  <c r="I496" i="4"/>
  <c r="H496" i="4"/>
  <c r="G496" i="4"/>
  <c r="F496" i="4"/>
  <c r="E496" i="4"/>
  <c r="D496" i="4"/>
  <c r="C496" i="4"/>
  <c r="B496" i="4"/>
  <c r="A496" i="4"/>
  <c r="K495" i="4"/>
  <c r="J495" i="4"/>
  <c r="I495" i="4"/>
  <c r="H495" i="4"/>
  <c r="G495" i="4"/>
  <c r="F495" i="4"/>
  <c r="E495" i="4"/>
  <c r="D495" i="4"/>
  <c r="C495" i="4"/>
  <c r="B495" i="4"/>
  <c r="A495" i="4"/>
  <c r="K494" i="4"/>
  <c r="J494" i="4"/>
  <c r="I494" i="4"/>
  <c r="H494" i="4"/>
  <c r="G494" i="4"/>
  <c r="F494" i="4"/>
  <c r="E494" i="4"/>
  <c r="D494" i="4"/>
  <c r="C494" i="4"/>
  <c r="B494" i="4"/>
  <c r="A494" i="4"/>
  <c r="K493" i="4"/>
  <c r="J493" i="4"/>
  <c r="I493" i="4"/>
  <c r="H493" i="4"/>
  <c r="G493" i="4"/>
  <c r="F493" i="4"/>
  <c r="E493" i="4"/>
  <c r="D493" i="4"/>
  <c r="C493" i="4"/>
  <c r="B493" i="4"/>
  <c r="A493" i="4"/>
  <c r="K492" i="4"/>
  <c r="J492" i="4"/>
  <c r="I492" i="4"/>
  <c r="H492" i="4"/>
  <c r="G492" i="4"/>
  <c r="F492" i="4"/>
  <c r="E492" i="4"/>
  <c r="D492" i="4"/>
  <c r="C492" i="4"/>
  <c r="B492" i="4"/>
  <c r="A492" i="4"/>
  <c r="K491" i="4"/>
  <c r="J491" i="4"/>
  <c r="I491" i="4"/>
  <c r="H491" i="4"/>
  <c r="G491" i="4"/>
  <c r="F491" i="4"/>
  <c r="E491" i="4"/>
  <c r="D491" i="4"/>
  <c r="C491" i="4"/>
  <c r="B491" i="4"/>
  <c r="A491" i="4"/>
  <c r="K490" i="4"/>
  <c r="J490" i="4"/>
  <c r="I490" i="4"/>
  <c r="H490" i="4"/>
  <c r="G490" i="4"/>
  <c r="F490" i="4"/>
  <c r="E490" i="4"/>
  <c r="D490" i="4"/>
  <c r="C490" i="4"/>
  <c r="B490" i="4"/>
  <c r="A490" i="4"/>
  <c r="K489" i="4"/>
  <c r="J489" i="4"/>
  <c r="I489" i="4"/>
  <c r="H489" i="4"/>
  <c r="G489" i="4"/>
  <c r="F489" i="4"/>
  <c r="E489" i="4"/>
  <c r="D489" i="4"/>
  <c r="C489" i="4"/>
  <c r="B489" i="4"/>
  <c r="A489" i="4"/>
  <c r="K488" i="4"/>
  <c r="J488" i="4"/>
  <c r="I488" i="4"/>
  <c r="H488" i="4"/>
  <c r="G488" i="4"/>
  <c r="F488" i="4"/>
  <c r="E488" i="4"/>
  <c r="D488" i="4"/>
  <c r="C488" i="4"/>
  <c r="B488" i="4"/>
  <c r="A488" i="4"/>
  <c r="K487" i="4"/>
  <c r="J487" i="4"/>
  <c r="I487" i="4"/>
  <c r="H487" i="4"/>
  <c r="G487" i="4"/>
  <c r="F487" i="4"/>
  <c r="E487" i="4"/>
  <c r="D487" i="4"/>
  <c r="C487" i="4"/>
  <c r="B487" i="4"/>
  <c r="A487" i="4"/>
  <c r="K486" i="4"/>
  <c r="J486" i="4"/>
  <c r="I486" i="4"/>
  <c r="H486" i="4"/>
  <c r="G486" i="4"/>
  <c r="F486" i="4"/>
  <c r="E486" i="4"/>
  <c r="D486" i="4"/>
  <c r="C486" i="4"/>
  <c r="B486" i="4"/>
  <c r="A486" i="4"/>
  <c r="K485" i="4"/>
  <c r="J485" i="4"/>
  <c r="I485" i="4"/>
  <c r="H485" i="4"/>
  <c r="G485" i="4"/>
  <c r="F485" i="4"/>
  <c r="E485" i="4"/>
  <c r="D485" i="4"/>
  <c r="C485" i="4"/>
  <c r="B485" i="4"/>
  <c r="A485" i="4"/>
  <c r="K484" i="4"/>
  <c r="J484" i="4"/>
  <c r="I484" i="4"/>
  <c r="H484" i="4"/>
  <c r="G484" i="4"/>
  <c r="F484" i="4"/>
  <c r="E484" i="4"/>
  <c r="D484" i="4"/>
  <c r="C484" i="4"/>
  <c r="B484" i="4"/>
  <c r="A484" i="4"/>
  <c r="K483" i="4"/>
  <c r="J483" i="4"/>
  <c r="I483" i="4"/>
  <c r="H483" i="4"/>
  <c r="G483" i="4"/>
  <c r="F483" i="4"/>
  <c r="E483" i="4"/>
  <c r="D483" i="4"/>
  <c r="C483" i="4"/>
  <c r="B483" i="4"/>
  <c r="A483" i="4"/>
  <c r="K482" i="4"/>
  <c r="J482" i="4"/>
  <c r="I482" i="4"/>
  <c r="H482" i="4"/>
  <c r="G482" i="4"/>
  <c r="F482" i="4"/>
  <c r="E482" i="4"/>
  <c r="D482" i="4"/>
  <c r="C482" i="4"/>
  <c r="B482" i="4"/>
  <c r="A482" i="4"/>
  <c r="K481" i="4"/>
  <c r="J481" i="4"/>
  <c r="I481" i="4"/>
  <c r="H481" i="4"/>
  <c r="G481" i="4"/>
  <c r="F481" i="4"/>
  <c r="E481" i="4"/>
  <c r="D481" i="4"/>
  <c r="C481" i="4"/>
  <c r="B481" i="4"/>
  <c r="A481" i="4"/>
  <c r="K480" i="4"/>
  <c r="J480" i="4"/>
  <c r="I480" i="4"/>
  <c r="H480" i="4"/>
  <c r="G480" i="4"/>
  <c r="F480" i="4"/>
  <c r="E480" i="4"/>
  <c r="D480" i="4"/>
  <c r="C480" i="4"/>
  <c r="B480" i="4"/>
  <c r="A480" i="4"/>
  <c r="K479" i="4"/>
  <c r="J479" i="4"/>
  <c r="I479" i="4"/>
  <c r="H479" i="4"/>
  <c r="G479" i="4"/>
  <c r="F479" i="4"/>
  <c r="E479" i="4"/>
  <c r="D479" i="4"/>
  <c r="C479" i="4"/>
  <c r="B479" i="4"/>
  <c r="A479" i="4"/>
  <c r="K478" i="4"/>
  <c r="J478" i="4"/>
  <c r="I478" i="4"/>
  <c r="H478" i="4"/>
  <c r="G478" i="4"/>
  <c r="F478" i="4"/>
  <c r="E478" i="4"/>
  <c r="D478" i="4"/>
  <c r="C478" i="4"/>
  <c r="B478" i="4"/>
  <c r="A478" i="4"/>
  <c r="K477" i="4"/>
  <c r="J477" i="4"/>
  <c r="I477" i="4"/>
  <c r="H477" i="4"/>
  <c r="G477" i="4"/>
  <c r="F477" i="4"/>
  <c r="E477" i="4"/>
  <c r="D477" i="4"/>
  <c r="C477" i="4"/>
  <c r="B477" i="4"/>
  <c r="A477" i="4"/>
  <c r="K476" i="4"/>
  <c r="J476" i="4"/>
  <c r="I476" i="4"/>
  <c r="H476" i="4"/>
  <c r="G476" i="4"/>
  <c r="F476" i="4"/>
  <c r="E476" i="4"/>
  <c r="D476" i="4"/>
  <c r="C476" i="4"/>
  <c r="B476" i="4"/>
  <c r="A476" i="4"/>
  <c r="K475" i="4"/>
  <c r="J475" i="4"/>
  <c r="I475" i="4"/>
  <c r="H475" i="4"/>
  <c r="G475" i="4"/>
  <c r="F475" i="4"/>
  <c r="E475" i="4"/>
  <c r="D475" i="4"/>
  <c r="C475" i="4"/>
  <c r="B475" i="4"/>
  <c r="A475" i="4"/>
  <c r="K474" i="4"/>
  <c r="J474" i="4"/>
  <c r="I474" i="4"/>
  <c r="H474" i="4"/>
  <c r="G474" i="4"/>
  <c r="F474" i="4"/>
  <c r="E474" i="4"/>
  <c r="D474" i="4"/>
  <c r="C474" i="4"/>
  <c r="B474" i="4"/>
  <c r="A474" i="4"/>
  <c r="K473" i="4"/>
  <c r="J473" i="4"/>
  <c r="I473" i="4"/>
  <c r="H473" i="4"/>
  <c r="G473" i="4"/>
  <c r="F473" i="4"/>
  <c r="E473" i="4"/>
  <c r="D473" i="4"/>
  <c r="C473" i="4"/>
  <c r="B473" i="4"/>
  <c r="A473" i="4"/>
  <c r="K472" i="4"/>
  <c r="J472" i="4"/>
  <c r="I472" i="4"/>
  <c r="H472" i="4"/>
  <c r="G472" i="4"/>
  <c r="F472" i="4"/>
  <c r="E472" i="4"/>
  <c r="D472" i="4"/>
  <c r="C472" i="4"/>
  <c r="B472" i="4"/>
  <c r="A472" i="4"/>
  <c r="K471" i="4"/>
  <c r="J471" i="4"/>
  <c r="I471" i="4"/>
  <c r="H471" i="4"/>
  <c r="G471" i="4"/>
  <c r="F471" i="4"/>
  <c r="E471" i="4"/>
  <c r="D471" i="4"/>
  <c r="C471" i="4"/>
  <c r="B471" i="4"/>
  <c r="A471" i="4"/>
  <c r="K470" i="4"/>
  <c r="J470" i="4"/>
  <c r="I470" i="4"/>
  <c r="H470" i="4"/>
  <c r="G470" i="4"/>
  <c r="F470" i="4"/>
  <c r="E470" i="4"/>
  <c r="D470" i="4"/>
  <c r="C470" i="4"/>
  <c r="B470" i="4"/>
  <c r="A470" i="4"/>
  <c r="K469" i="4"/>
  <c r="J469" i="4"/>
  <c r="I469" i="4"/>
  <c r="H469" i="4"/>
  <c r="G469" i="4"/>
  <c r="F469" i="4"/>
  <c r="E469" i="4"/>
  <c r="D469" i="4"/>
  <c r="C469" i="4"/>
  <c r="B469" i="4"/>
  <c r="A469" i="4"/>
  <c r="K468" i="4"/>
  <c r="J468" i="4"/>
  <c r="I468" i="4"/>
  <c r="H468" i="4"/>
  <c r="G468" i="4"/>
  <c r="F468" i="4"/>
  <c r="E468" i="4"/>
  <c r="D468" i="4"/>
  <c r="C468" i="4"/>
  <c r="B468" i="4"/>
  <c r="A468" i="4"/>
  <c r="K467" i="4"/>
  <c r="J467" i="4"/>
  <c r="I467" i="4"/>
  <c r="H467" i="4"/>
  <c r="G467" i="4"/>
  <c r="F467" i="4"/>
  <c r="E467" i="4"/>
  <c r="D467" i="4"/>
  <c r="C467" i="4"/>
  <c r="B467" i="4"/>
  <c r="A467" i="4"/>
  <c r="K466" i="4"/>
  <c r="J466" i="4"/>
  <c r="H466" i="4"/>
  <c r="G466" i="4"/>
  <c r="F466" i="4"/>
  <c r="E466" i="4"/>
  <c r="D466" i="4"/>
  <c r="C466" i="4"/>
  <c r="B466" i="4"/>
  <c r="A466" i="4"/>
  <c r="K465" i="4"/>
  <c r="J465" i="4"/>
  <c r="I465" i="4"/>
  <c r="H465" i="4"/>
  <c r="G465" i="4"/>
  <c r="F465" i="4"/>
  <c r="E465" i="4"/>
  <c r="D465" i="4"/>
  <c r="C465" i="4"/>
  <c r="B465" i="4"/>
  <c r="A465" i="4"/>
  <c r="K464" i="4"/>
  <c r="J464" i="4"/>
  <c r="I464" i="4"/>
  <c r="H464" i="4"/>
  <c r="G464" i="4"/>
  <c r="F464" i="4"/>
  <c r="E464" i="4"/>
  <c r="D464" i="4"/>
  <c r="C464" i="4"/>
  <c r="B464" i="4"/>
  <c r="A464" i="4"/>
  <c r="K463" i="4"/>
  <c r="J463" i="4"/>
  <c r="I463" i="4"/>
  <c r="H463" i="4"/>
  <c r="G463" i="4"/>
  <c r="F463" i="4"/>
  <c r="E463" i="4"/>
  <c r="D463" i="4"/>
  <c r="C463" i="4"/>
  <c r="B463" i="4"/>
  <c r="A463" i="4"/>
  <c r="K462" i="4"/>
  <c r="J462" i="4"/>
  <c r="I462" i="4"/>
  <c r="H462" i="4"/>
  <c r="G462" i="4"/>
  <c r="F462" i="4"/>
  <c r="E462" i="4"/>
  <c r="D462" i="4"/>
  <c r="C462" i="4"/>
  <c r="B462" i="4"/>
  <c r="A462" i="4"/>
  <c r="K461" i="4"/>
  <c r="J461" i="4"/>
  <c r="I461" i="4"/>
  <c r="H461" i="4"/>
  <c r="G461" i="4"/>
  <c r="F461" i="4"/>
  <c r="E461" i="4"/>
  <c r="D461" i="4"/>
  <c r="C461" i="4"/>
  <c r="B461" i="4"/>
  <c r="A461" i="4"/>
  <c r="K460" i="4"/>
  <c r="J460" i="4"/>
  <c r="I460" i="4"/>
  <c r="H460" i="4"/>
  <c r="G460" i="4"/>
  <c r="F460" i="4"/>
  <c r="E460" i="4"/>
  <c r="D460" i="4"/>
  <c r="C460" i="4"/>
  <c r="B460" i="4"/>
  <c r="A460" i="4"/>
  <c r="K459" i="4"/>
  <c r="J459" i="4"/>
  <c r="I459" i="4"/>
  <c r="H459" i="4"/>
  <c r="G459" i="4"/>
  <c r="F459" i="4"/>
  <c r="E459" i="4"/>
  <c r="D459" i="4"/>
  <c r="C459" i="4"/>
  <c r="B459" i="4"/>
  <c r="A459" i="4"/>
  <c r="K458" i="4"/>
  <c r="J458" i="4"/>
  <c r="I458" i="4"/>
  <c r="H458" i="4"/>
  <c r="G458" i="4"/>
  <c r="F458" i="4"/>
  <c r="E458" i="4"/>
  <c r="D458" i="4"/>
  <c r="C458" i="4"/>
  <c r="B458" i="4"/>
  <c r="A458" i="4"/>
  <c r="K457" i="4"/>
  <c r="J457" i="4"/>
  <c r="I457" i="4"/>
  <c r="H457" i="4"/>
  <c r="G457" i="4"/>
  <c r="F457" i="4"/>
  <c r="E457" i="4"/>
  <c r="D457" i="4"/>
  <c r="C457" i="4"/>
  <c r="B457" i="4"/>
  <c r="A457" i="4"/>
  <c r="K456" i="4"/>
  <c r="J456" i="4"/>
  <c r="I456" i="4"/>
  <c r="H456" i="4"/>
  <c r="G456" i="4"/>
  <c r="F456" i="4"/>
  <c r="E456" i="4"/>
  <c r="D456" i="4"/>
  <c r="C456" i="4"/>
  <c r="B456" i="4"/>
  <c r="A456" i="4"/>
  <c r="K455" i="4"/>
  <c r="J455" i="4"/>
  <c r="I455" i="4"/>
  <c r="H455" i="4"/>
  <c r="G455" i="4"/>
  <c r="F455" i="4"/>
  <c r="E455" i="4"/>
  <c r="D455" i="4"/>
  <c r="C455" i="4"/>
  <c r="B455" i="4"/>
  <c r="A455" i="4"/>
  <c r="K454" i="4"/>
  <c r="J454" i="4"/>
  <c r="I454" i="4"/>
  <c r="H454" i="4"/>
  <c r="G454" i="4"/>
  <c r="F454" i="4"/>
  <c r="E454" i="4"/>
  <c r="D454" i="4"/>
  <c r="C454" i="4"/>
  <c r="B454" i="4"/>
  <c r="A454" i="4"/>
  <c r="K453" i="4"/>
  <c r="J453" i="4"/>
  <c r="I453" i="4"/>
  <c r="H453" i="4"/>
  <c r="G453" i="4"/>
  <c r="F453" i="4"/>
  <c r="E453" i="4"/>
  <c r="D453" i="4"/>
  <c r="C453" i="4"/>
  <c r="B453" i="4"/>
  <c r="A453" i="4"/>
  <c r="K452" i="4"/>
  <c r="J452" i="4"/>
  <c r="I452" i="4"/>
  <c r="H452" i="4"/>
  <c r="G452" i="4"/>
  <c r="F452" i="4"/>
  <c r="E452" i="4"/>
  <c r="D452" i="4"/>
  <c r="C452" i="4"/>
  <c r="B452" i="4"/>
  <c r="A452" i="4"/>
  <c r="K451" i="4"/>
  <c r="J451" i="4"/>
  <c r="I451" i="4"/>
  <c r="H451" i="4"/>
  <c r="G451" i="4"/>
  <c r="F451" i="4"/>
  <c r="E451" i="4"/>
  <c r="D451" i="4"/>
  <c r="C451" i="4"/>
  <c r="B451" i="4"/>
  <c r="A451" i="4"/>
  <c r="K450" i="4"/>
  <c r="J450" i="4"/>
  <c r="I450" i="4"/>
  <c r="H450" i="4"/>
  <c r="G450" i="4"/>
  <c r="F450" i="4"/>
  <c r="E450" i="4"/>
  <c r="D450" i="4"/>
  <c r="C450" i="4"/>
  <c r="B450" i="4"/>
  <c r="A450" i="4"/>
  <c r="K449" i="4"/>
  <c r="J449" i="4"/>
  <c r="I449" i="4"/>
  <c r="H449" i="4"/>
  <c r="G449" i="4"/>
  <c r="F449" i="4"/>
  <c r="E449" i="4"/>
  <c r="D449" i="4"/>
  <c r="C449" i="4"/>
  <c r="B449" i="4"/>
  <c r="A449" i="4"/>
  <c r="K448" i="4"/>
  <c r="J448" i="4"/>
  <c r="I448" i="4"/>
  <c r="G448" i="4"/>
  <c r="F448" i="4"/>
  <c r="E448" i="4"/>
  <c r="D448" i="4"/>
  <c r="C448" i="4"/>
  <c r="B448" i="4"/>
  <c r="A448" i="4"/>
  <c r="K447" i="4"/>
  <c r="J447" i="4"/>
  <c r="I447" i="4"/>
  <c r="H447" i="4"/>
  <c r="G447" i="4"/>
  <c r="F447" i="4"/>
  <c r="E447" i="4"/>
  <c r="D447" i="4"/>
  <c r="C447" i="4"/>
  <c r="B447" i="4"/>
  <c r="A447" i="4"/>
  <c r="K446" i="4"/>
  <c r="J446" i="4"/>
  <c r="I446" i="4"/>
  <c r="H446" i="4"/>
  <c r="G446" i="4"/>
  <c r="F446" i="4"/>
  <c r="E446" i="4"/>
  <c r="D446" i="4"/>
  <c r="C446" i="4"/>
  <c r="B446" i="4"/>
  <c r="A446" i="4"/>
  <c r="K445" i="4"/>
  <c r="J445" i="4"/>
  <c r="I445" i="4"/>
  <c r="H445" i="4"/>
  <c r="G445" i="4"/>
  <c r="F445" i="4"/>
  <c r="E445" i="4"/>
  <c r="D445" i="4"/>
  <c r="C445" i="4"/>
  <c r="B445" i="4"/>
  <c r="A445" i="4"/>
  <c r="K444" i="4"/>
  <c r="J444" i="4"/>
  <c r="I444" i="4"/>
  <c r="H444" i="4"/>
  <c r="G444" i="4"/>
  <c r="F444" i="4"/>
  <c r="E444" i="4"/>
  <c r="D444" i="4"/>
  <c r="C444" i="4"/>
  <c r="B444" i="4"/>
  <c r="A444" i="4"/>
  <c r="K443" i="4"/>
  <c r="J443" i="4"/>
  <c r="I443" i="4"/>
  <c r="H443" i="4"/>
  <c r="G443" i="4"/>
  <c r="F443" i="4"/>
  <c r="E443" i="4"/>
  <c r="D443" i="4"/>
  <c r="C443" i="4"/>
  <c r="B443" i="4"/>
  <c r="A443" i="4"/>
  <c r="K442" i="4"/>
  <c r="J442" i="4"/>
  <c r="I442" i="4"/>
  <c r="H442" i="4"/>
  <c r="G442" i="4"/>
  <c r="F442" i="4"/>
  <c r="E442" i="4"/>
  <c r="D442" i="4"/>
  <c r="C442" i="4"/>
  <c r="B442" i="4"/>
  <c r="A442" i="4"/>
  <c r="K441" i="4"/>
  <c r="J441" i="4"/>
  <c r="I441" i="4"/>
  <c r="H441" i="4"/>
  <c r="G441" i="4"/>
  <c r="F441" i="4"/>
  <c r="E441" i="4"/>
  <c r="D441" i="4"/>
  <c r="C441" i="4"/>
  <c r="B441" i="4"/>
  <c r="A441" i="4"/>
  <c r="K440" i="4"/>
  <c r="J440" i="4"/>
  <c r="I440" i="4"/>
  <c r="H440" i="4"/>
  <c r="G440" i="4"/>
  <c r="F440" i="4"/>
  <c r="E440" i="4"/>
  <c r="D440" i="4"/>
  <c r="C440" i="4"/>
  <c r="B440" i="4"/>
  <c r="A440" i="4"/>
  <c r="K439" i="4"/>
  <c r="J439" i="4"/>
  <c r="I439" i="4"/>
  <c r="H439" i="4"/>
  <c r="G439" i="4"/>
  <c r="F439" i="4"/>
  <c r="E439" i="4"/>
  <c r="D439" i="4"/>
  <c r="C439" i="4"/>
  <c r="B439" i="4"/>
  <c r="A439" i="4"/>
  <c r="K438" i="4"/>
  <c r="J438" i="4"/>
  <c r="I438" i="4"/>
  <c r="H438" i="4"/>
  <c r="G438" i="4"/>
  <c r="F438" i="4"/>
  <c r="E438" i="4"/>
  <c r="D438" i="4"/>
  <c r="C438" i="4"/>
  <c r="B438" i="4"/>
  <c r="A438" i="4"/>
  <c r="K437" i="4"/>
  <c r="J437" i="4"/>
  <c r="I437" i="4"/>
  <c r="H437" i="4"/>
  <c r="G437" i="4"/>
  <c r="F437" i="4"/>
  <c r="E437" i="4"/>
  <c r="D437" i="4"/>
  <c r="C437" i="4"/>
  <c r="B437" i="4"/>
  <c r="A437" i="4"/>
  <c r="J436" i="4"/>
  <c r="I436" i="4"/>
  <c r="H436" i="4"/>
  <c r="G436" i="4"/>
  <c r="F436" i="4"/>
  <c r="E436" i="4"/>
  <c r="D436" i="4"/>
  <c r="C436" i="4"/>
  <c r="B436" i="4"/>
  <c r="A436" i="4"/>
  <c r="J435" i="4"/>
  <c r="I435" i="4"/>
  <c r="H435" i="4"/>
  <c r="G435" i="4"/>
  <c r="F435" i="4"/>
  <c r="E435" i="4"/>
  <c r="D435" i="4"/>
  <c r="C435" i="4"/>
  <c r="B435" i="4"/>
  <c r="A435" i="4"/>
  <c r="J434" i="4"/>
  <c r="I434" i="4"/>
  <c r="H434" i="4"/>
  <c r="G434" i="4"/>
  <c r="F434" i="4"/>
  <c r="E434" i="4"/>
  <c r="D434" i="4"/>
  <c r="C434" i="4"/>
  <c r="B434" i="4"/>
  <c r="A434" i="4"/>
  <c r="K433" i="4"/>
  <c r="J433" i="4"/>
  <c r="I433" i="4"/>
  <c r="H433" i="4"/>
  <c r="G433" i="4"/>
  <c r="F433" i="4"/>
  <c r="E433" i="4"/>
  <c r="D433" i="4"/>
  <c r="C433" i="4"/>
  <c r="B433" i="4"/>
  <c r="A433" i="4"/>
  <c r="K432" i="4"/>
  <c r="J432" i="4"/>
  <c r="I432" i="4"/>
  <c r="H432" i="4"/>
  <c r="G432" i="4"/>
  <c r="F432" i="4"/>
  <c r="E432" i="4"/>
  <c r="D432" i="4"/>
  <c r="C432" i="4"/>
  <c r="B432" i="4"/>
  <c r="A432" i="4"/>
  <c r="J431" i="4"/>
  <c r="I431" i="4"/>
  <c r="H431" i="4"/>
  <c r="G431" i="4"/>
  <c r="F431" i="4"/>
  <c r="E431" i="4"/>
  <c r="D431" i="4"/>
  <c r="C431" i="4"/>
  <c r="B431" i="4"/>
  <c r="A431" i="4"/>
  <c r="J430" i="4"/>
  <c r="I430" i="4"/>
  <c r="H430" i="4"/>
  <c r="G430" i="4"/>
  <c r="F430" i="4"/>
  <c r="E430" i="4"/>
  <c r="D430" i="4"/>
  <c r="C430" i="4"/>
  <c r="B430" i="4"/>
  <c r="A430" i="4"/>
  <c r="K429" i="4"/>
  <c r="J429" i="4"/>
  <c r="I429" i="4"/>
  <c r="H429" i="4"/>
  <c r="G429" i="4"/>
  <c r="F429" i="4"/>
  <c r="E429" i="4"/>
  <c r="D429" i="4"/>
  <c r="C429" i="4"/>
  <c r="B429" i="4"/>
  <c r="A429" i="4"/>
  <c r="K428" i="4"/>
  <c r="J428" i="4"/>
  <c r="I428" i="4"/>
  <c r="H428" i="4"/>
  <c r="G428" i="4"/>
  <c r="F428" i="4"/>
  <c r="E428" i="4"/>
  <c r="D428" i="4"/>
  <c r="C428" i="4"/>
  <c r="B428" i="4"/>
  <c r="A428" i="4"/>
  <c r="K427" i="4"/>
  <c r="J427" i="4"/>
  <c r="I427" i="4"/>
  <c r="H427" i="4"/>
  <c r="G427" i="4"/>
  <c r="F427" i="4"/>
  <c r="E427" i="4"/>
  <c r="D427" i="4"/>
  <c r="C427" i="4"/>
  <c r="B427" i="4"/>
  <c r="A427" i="4"/>
  <c r="K426" i="4"/>
  <c r="J426" i="4"/>
  <c r="I426" i="4"/>
  <c r="H426" i="4"/>
  <c r="G426" i="4"/>
  <c r="F426" i="4"/>
  <c r="E426" i="4"/>
  <c r="D426" i="4"/>
  <c r="C426" i="4"/>
  <c r="B426" i="4"/>
  <c r="A426" i="4"/>
  <c r="K425" i="4"/>
  <c r="J425" i="4"/>
  <c r="I425" i="4"/>
  <c r="H425" i="4"/>
  <c r="G425" i="4"/>
  <c r="F425" i="4"/>
  <c r="E425" i="4"/>
  <c r="D425" i="4"/>
  <c r="C425" i="4"/>
  <c r="B425" i="4"/>
  <c r="A425" i="4"/>
  <c r="J424" i="4"/>
  <c r="I424" i="4"/>
  <c r="H424" i="4"/>
  <c r="G424" i="4"/>
  <c r="F424" i="4"/>
  <c r="E424" i="4"/>
  <c r="D424" i="4"/>
  <c r="C424" i="4"/>
  <c r="B424" i="4"/>
  <c r="A424" i="4"/>
  <c r="J423" i="4"/>
  <c r="I423" i="4"/>
  <c r="H423" i="4"/>
  <c r="G423" i="4"/>
  <c r="F423" i="4"/>
  <c r="E423" i="4"/>
  <c r="D423" i="4"/>
  <c r="C423" i="4"/>
  <c r="B423" i="4"/>
  <c r="A423" i="4"/>
  <c r="J422" i="4"/>
  <c r="I422" i="4"/>
  <c r="H422" i="4"/>
  <c r="G422" i="4"/>
  <c r="F422" i="4"/>
  <c r="E422" i="4"/>
  <c r="D422" i="4"/>
  <c r="C422" i="4"/>
  <c r="B422" i="4"/>
  <c r="A422" i="4"/>
  <c r="J421" i="4"/>
  <c r="I421" i="4"/>
  <c r="H421" i="4"/>
  <c r="G421" i="4"/>
  <c r="F421" i="4"/>
  <c r="E421" i="4"/>
  <c r="D421" i="4"/>
  <c r="C421" i="4"/>
  <c r="B421" i="4"/>
  <c r="A421" i="4"/>
  <c r="J420" i="4"/>
  <c r="I420" i="4"/>
  <c r="H420" i="4"/>
  <c r="G420" i="4"/>
  <c r="F420" i="4"/>
  <c r="E420" i="4"/>
  <c r="D420" i="4"/>
  <c r="C420" i="4"/>
  <c r="B420" i="4"/>
  <c r="A420" i="4"/>
  <c r="J419" i="4"/>
  <c r="I419" i="4"/>
  <c r="H419" i="4"/>
  <c r="G419" i="4"/>
  <c r="F419" i="4"/>
  <c r="E419" i="4"/>
  <c r="D419" i="4"/>
  <c r="C419" i="4"/>
  <c r="B419" i="4"/>
  <c r="A419" i="4"/>
  <c r="K418" i="4"/>
  <c r="J418" i="4"/>
  <c r="I418" i="4"/>
  <c r="H418" i="4"/>
  <c r="G418" i="4"/>
  <c r="F418" i="4"/>
  <c r="E418" i="4"/>
  <c r="D418" i="4"/>
  <c r="C418" i="4"/>
  <c r="B418" i="4"/>
  <c r="A418" i="4"/>
  <c r="K417" i="4"/>
  <c r="J417" i="4"/>
  <c r="I417" i="4"/>
  <c r="H417" i="4"/>
  <c r="G417" i="4"/>
  <c r="F417" i="4"/>
  <c r="E417" i="4"/>
  <c r="D417" i="4"/>
  <c r="C417" i="4"/>
  <c r="B417" i="4"/>
  <c r="A417" i="4"/>
  <c r="K416" i="4"/>
  <c r="J416" i="4"/>
  <c r="I416" i="4"/>
  <c r="H416" i="4"/>
  <c r="G416" i="4"/>
  <c r="F416" i="4"/>
  <c r="E416" i="4"/>
  <c r="D416" i="4"/>
  <c r="C416" i="4"/>
  <c r="B416" i="4"/>
  <c r="A416" i="4"/>
  <c r="K415" i="4"/>
  <c r="J415" i="4"/>
  <c r="I415" i="4"/>
  <c r="H415" i="4"/>
  <c r="G415" i="4"/>
  <c r="F415" i="4"/>
  <c r="E415" i="4"/>
  <c r="D415" i="4"/>
  <c r="C415" i="4"/>
  <c r="B415" i="4"/>
  <c r="A415" i="4"/>
  <c r="J414" i="4"/>
  <c r="I414" i="4"/>
  <c r="H414" i="4"/>
  <c r="G414" i="4"/>
  <c r="F414" i="4"/>
  <c r="E414" i="4"/>
  <c r="D414" i="4"/>
  <c r="C414" i="4"/>
  <c r="B414" i="4"/>
  <c r="A414" i="4"/>
  <c r="K413" i="4"/>
  <c r="J413" i="4"/>
  <c r="I413" i="4"/>
  <c r="H413" i="4"/>
  <c r="G413" i="4"/>
  <c r="F413" i="4"/>
  <c r="E413" i="4"/>
  <c r="D413" i="4"/>
  <c r="C413" i="4"/>
  <c r="B413" i="4"/>
  <c r="A413" i="4"/>
  <c r="K412" i="4"/>
  <c r="J412" i="4"/>
  <c r="I412" i="4"/>
  <c r="H412" i="4"/>
  <c r="G412" i="4"/>
  <c r="F412" i="4"/>
  <c r="E412" i="4"/>
  <c r="D412" i="4"/>
  <c r="C412" i="4"/>
  <c r="B412" i="4"/>
  <c r="A412" i="4"/>
  <c r="K411" i="4"/>
  <c r="J411" i="4"/>
  <c r="I411" i="4"/>
  <c r="H411" i="4"/>
  <c r="G411" i="4"/>
  <c r="F411" i="4"/>
  <c r="E411" i="4"/>
  <c r="D411" i="4"/>
  <c r="C411" i="4"/>
  <c r="B411" i="4"/>
  <c r="A411" i="4"/>
  <c r="J410" i="4"/>
  <c r="I410" i="4"/>
  <c r="H410" i="4"/>
  <c r="G410" i="4"/>
  <c r="F410" i="4"/>
  <c r="E410" i="4"/>
  <c r="D410" i="4"/>
  <c r="C410" i="4"/>
  <c r="B410" i="4"/>
  <c r="A410" i="4"/>
  <c r="J409" i="4"/>
  <c r="I409" i="4"/>
  <c r="H409" i="4"/>
  <c r="G409" i="4"/>
  <c r="F409" i="4"/>
  <c r="E409" i="4"/>
  <c r="D409" i="4"/>
  <c r="C409" i="4"/>
  <c r="B409" i="4"/>
  <c r="A409" i="4"/>
  <c r="K408" i="4"/>
  <c r="J408" i="4"/>
  <c r="I408" i="4"/>
  <c r="H408" i="4"/>
  <c r="G408" i="4"/>
  <c r="F408" i="4"/>
  <c r="E408" i="4"/>
  <c r="D408" i="4"/>
  <c r="C408" i="4"/>
  <c r="B408" i="4"/>
  <c r="A408" i="4"/>
  <c r="K407" i="4"/>
  <c r="J407" i="4"/>
  <c r="I407" i="4"/>
  <c r="H407" i="4"/>
  <c r="G407" i="4"/>
  <c r="F407" i="4"/>
  <c r="E407" i="4"/>
  <c r="D407" i="4"/>
  <c r="C407" i="4"/>
  <c r="B407" i="4"/>
  <c r="A407" i="4"/>
  <c r="K406" i="4"/>
  <c r="J406" i="4"/>
  <c r="I406" i="4"/>
  <c r="H406" i="4"/>
  <c r="G406" i="4"/>
  <c r="F406" i="4"/>
  <c r="E406" i="4"/>
  <c r="D406" i="4"/>
  <c r="C406" i="4"/>
  <c r="B406" i="4"/>
  <c r="A406" i="4"/>
  <c r="K405" i="4"/>
  <c r="J405" i="4"/>
  <c r="I405" i="4"/>
  <c r="H405" i="4"/>
  <c r="G405" i="4"/>
  <c r="F405" i="4"/>
  <c r="E405" i="4"/>
  <c r="D405" i="4"/>
  <c r="C405" i="4"/>
  <c r="B405" i="4"/>
  <c r="A405" i="4"/>
  <c r="K404" i="4"/>
  <c r="J404" i="4"/>
  <c r="I404" i="4"/>
  <c r="H404" i="4"/>
  <c r="G404" i="4"/>
  <c r="F404" i="4"/>
  <c r="E404" i="4"/>
  <c r="D404" i="4"/>
  <c r="C404" i="4"/>
  <c r="B404" i="4"/>
  <c r="A404" i="4"/>
  <c r="K403" i="4"/>
  <c r="J403" i="4"/>
  <c r="I403" i="4"/>
  <c r="H403" i="4"/>
  <c r="G403" i="4"/>
  <c r="F403" i="4"/>
  <c r="E403" i="4"/>
  <c r="D403" i="4"/>
  <c r="C403" i="4"/>
  <c r="B403" i="4"/>
  <c r="A403" i="4"/>
  <c r="K402" i="4"/>
  <c r="J402" i="4"/>
  <c r="I402" i="4"/>
  <c r="H402" i="4"/>
  <c r="G402" i="4"/>
  <c r="F402" i="4"/>
  <c r="E402" i="4"/>
  <c r="D402" i="4"/>
  <c r="C402" i="4"/>
  <c r="B402" i="4"/>
  <c r="A402" i="4"/>
  <c r="K401" i="4"/>
  <c r="J401" i="4"/>
  <c r="H401" i="4"/>
  <c r="G401" i="4"/>
  <c r="F401" i="4"/>
  <c r="E401" i="4"/>
  <c r="D401" i="4"/>
  <c r="C401" i="4"/>
  <c r="B401" i="4"/>
  <c r="A401" i="4"/>
  <c r="K400" i="4"/>
  <c r="J400" i="4"/>
  <c r="I400" i="4"/>
  <c r="H400" i="4"/>
  <c r="G400" i="4"/>
  <c r="F400" i="4"/>
  <c r="E400" i="4"/>
  <c r="D400" i="4"/>
  <c r="C400" i="4"/>
  <c r="B400" i="4"/>
  <c r="A400" i="4"/>
  <c r="K399" i="4"/>
  <c r="J399" i="4"/>
  <c r="I399" i="4"/>
  <c r="H399" i="4"/>
  <c r="G399" i="4"/>
  <c r="F399" i="4"/>
  <c r="E399" i="4"/>
  <c r="D399" i="4"/>
  <c r="C399" i="4"/>
  <c r="B399" i="4"/>
  <c r="A399" i="4"/>
  <c r="K398" i="4"/>
  <c r="J398" i="4"/>
  <c r="I398" i="4"/>
  <c r="H398" i="4"/>
  <c r="G398" i="4"/>
  <c r="F398" i="4"/>
  <c r="E398" i="4"/>
  <c r="D398" i="4"/>
  <c r="C398" i="4"/>
  <c r="B398" i="4"/>
  <c r="A398" i="4"/>
  <c r="K397" i="4"/>
  <c r="J397" i="4"/>
  <c r="I397" i="4"/>
  <c r="H397" i="4"/>
  <c r="G397" i="4"/>
  <c r="F397" i="4"/>
  <c r="E397" i="4"/>
  <c r="D397" i="4"/>
  <c r="C397" i="4"/>
  <c r="B397" i="4"/>
  <c r="A397" i="4"/>
  <c r="K396" i="4"/>
  <c r="J396" i="4"/>
  <c r="I396" i="4"/>
  <c r="H396" i="4"/>
  <c r="G396" i="4"/>
  <c r="F396" i="4"/>
  <c r="E396" i="4"/>
  <c r="D396" i="4"/>
  <c r="C396" i="4"/>
  <c r="B396" i="4"/>
  <c r="A396" i="4"/>
  <c r="J395" i="4"/>
  <c r="I395" i="4"/>
  <c r="H395" i="4"/>
  <c r="G395" i="4"/>
  <c r="F395" i="4"/>
  <c r="E395" i="4"/>
  <c r="D395" i="4"/>
  <c r="C395" i="4"/>
  <c r="B395" i="4"/>
  <c r="A395" i="4"/>
  <c r="K394" i="4"/>
  <c r="J394" i="4"/>
  <c r="I394" i="4"/>
  <c r="H394" i="4"/>
  <c r="G394" i="4"/>
  <c r="F394" i="4"/>
  <c r="E394" i="4"/>
  <c r="D394" i="4"/>
  <c r="C394" i="4"/>
  <c r="B394" i="4"/>
  <c r="A394" i="4"/>
  <c r="J393" i="4"/>
  <c r="I393" i="4"/>
  <c r="H393" i="4"/>
  <c r="G393" i="4"/>
  <c r="F393" i="4"/>
  <c r="E393" i="4"/>
  <c r="D393" i="4"/>
  <c r="C393" i="4"/>
  <c r="B393" i="4"/>
  <c r="A393" i="4"/>
  <c r="K392" i="4"/>
  <c r="J392" i="4"/>
  <c r="I392" i="4"/>
  <c r="H392" i="4"/>
  <c r="G392" i="4"/>
  <c r="F392" i="4"/>
  <c r="E392" i="4"/>
  <c r="D392" i="4"/>
  <c r="C392" i="4"/>
  <c r="B392" i="4"/>
  <c r="A392" i="4"/>
  <c r="K391" i="4"/>
  <c r="J391" i="4"/>
  <c r="I391" i="4"/>
  <c r="H391" i="4"/>
  <c r="G391" i="4"/>
  <c r="F391" i="4"/>
  <c r="E391" i="4"/>
  <c r="D391" i="4"/>
  <c r="C391" i="4"/>
  <c r="B391" i="4"/>
  <c r="A391" i="4"/>
  <c r="K390" i="4"/>
  <c r="J390" i="4"/>
  <c r="I390" i="4"/>
  <c r="H390" i="4"/>
  <c r="G390" i="4"/>
  <c r="F390" i="4"/>
  <c r="E390" i="4"/>
  <c r="D390" i="4"/>
  <c r="C390" i="4"/>
  <c r="B390" i="4"/>
  <c r="A390" i="4"/>
  <c r="K389" i="4"/>
  <c r="J389" i="4"/>
  <c r="I389" i="4"/>
  <c r="H389" i="4"/>
  <c r="G389" i="4"/>
  <c r="F389" i="4"/>
  <c r="E389" i="4"/>
  <c r="D389" i="4"/>
  <c r="C389" i="4"/>
  <c r="B389" i="4"/>
  <c r="A389" i="4"/>
  <c r="K388" i="4"/>
  <c r="J388" i="4"/>
  <c r="I388" i="4"/>
  <c r="H388" i="4"/>
  <c r="G388" i="4"/>
  <c r="F388" i="4"/>
  <c r="E388" i="4"/>
  <c r="D388" i="4"/>
  <c r="C388" i="4"/>
  <c r="B388" i="4"/>
  <c r="A388" i="4"/>
  <c r="K387" i="4"/>
  <c r="J387" i="4"/>
  <c r="I387" i="4"/>
  <c r="H387" i="4"/>
  <c r="G387" i="4"/>
  <c r="F387" i="4"/>
  <c r="E387" i="4"/>
  <c r="D387" i="4"/>
  <c r="C387" i="4"/>
  <c r="B387" i="4"/>
  <c r="A387" i="4"/>
  <c r="K386" i="4"/>
  <c r="J386" i="4"/>
  <c r="I386" i="4"/>
  <c r="H386" i="4"/>
  <c r="G386" i="4"/>
  <c r="F386" i="4"/>
  <c r="E386" i="4"/>
  <c r="D386" i="4"/>
  <c r="C386" i="4"/>
  <c r="B386" i="4"/>
  <c r="A386" i="4"/>
  <c r="J385" i="4"/>
  <c r="I385" i="4"/>
  <c r="H385" i="4"/>
  <c r="G385" i="4"/>
  <c r="F385" i="4"/>
  <c r="E385" i="4"/>
  <c r="D385" i="4"/>
  <c r="C385" i="4"/>
  <c r="B385" i="4"/>
  <c r="A385" i="4"/>
  <c r="K384" i="4"/>
  <c r="J384" i="4"/>
  <c r="I384" i="4"/>
  <c r="H384" i="4"/>
  <c r="G384" i="4"/>
  <c r="F384" i="4"/>
  <c r="E384" i="4"/>
  <c r="D384" i="4"/>
  <c r="C384" i="4"/>
  <c r="B384" i="4"/>
  <c r="A384" i="4"/>
  <c r="K383" i="4"/>
  <c r="J383" i="4"/>
  <c r="I383" i="4"/>
  <c r="H383" i="4"/>
  <c r="G383" i="4"/>
  <c r="F383" i="4"/>
  <c r="E383" i="4"/>
  <c r="D383" i="4"/>
  <c r="C383" i="4"/>
  <c r="B383" i="4"/>
  <c r="A383" i="4"/>
  <c r="J382" i="4"/>
  <c r="I382" i="4"/>
  <c r="H382" i="4"/>
  <c r="G382" i="4"/>
  <c r="F382" i="4"/>
  <c r="E382" i="4"/>
  <c r="D382" i="4"/>
  <c r="C382" i="4"/>
  <c r="B382" i="4"/>
  <c r="A382" i="4"/>
  <c r="J381" i="4"/>
  <c r="I381" i="4"/>
  <c r="H381" i="4"/>
  <c r="G381" i="4"/>
  <c r="F381" i="4"/>
  <c r="E381" i="4"/>
  <c r="D381" i="4"/>
  <c r="C381" i="4"/>
  <c r="B381" i="4"/>
  <c r="A381" i="4"/>
  <c r="K380" i="4"/>
  <c r="J380" i="4"/>
  <c r="I380" i="4"/>
  <c r="H380" i="4"/>
  <c r="G380" i="4"/>
  <c r="F380" i="4"/>
  <c r="E380" i="4"/>
  <c r="D380" i="4"/>
  <c r="C380" i="4"/>
  <c r="B380" i="4"/>
  <c r="A380" i="4"/>
  <c r="K379" i="4"/>
  <c r="J379" i="4"/>
  <c r="I379" i="4"/>
  <c r="H379" i="4"/>
  <c r="G379" i="4"/>
  <c r="F379" i="4"/>
  <c r="E379" i="4"/>
  <c r="D379" i="4"/>
  <c r="C379" i="4"/>
  <c r="B379" i="4"/>
  <c r="A379" i="4"/>
  <c r="K378" i="4"/>
  <c r="J378" i="4"/>
  <c r="I378" i="4"/>
  <c r="G378" i="4"/>
  <c r="F378" i="4"/>
  <c r="E378" i="4"/>
  <c r="D378" i="4"/>
  <c r="C378" i="4"/>
  <c r="B378" i="4"/>
  <c r="A378" i="4"/>
  <c r="K377" i="4"/>
  <c r="J377" i="4"/>
  <c r="I377" i="4"/>
  <c r="H377" i="4"/>
  <c r="G377" i="4"/>
  <c r="F377" i="4"/>
  <c r="E377" i="4"/>
  <c r="D377" i="4"/>
  <c r="C377" i="4"/>
  <c r="B377" i="4"/>
  <c r="A377" i="4"/>
  <c r="K376" i="4"/>
  <c r="J376" i="4"/>
  <c r="I376" i="4"/>
  <c r="H376" i="4"/>
  <c r="G376" i="4"/>
  <c r="F376" i="4"/>
  <c r="E376" i="4"/>
  <c r="D376" i="4"/>
  <c r="C376" i="4"/>
  <c r="B376" i="4"/>
  <c r="A376" i="4"/>
  <c r="K375" i="4"/>
  <c r="J375" i="4"/>
  <c r="I375" i="4"/>
  <c r="H375" i="4"/>
  <c r="G375" i="4"/>
  <c r="F375" i="4"/>
  <c r="E375" i="4"/>
  <c r="D375" i="4"/>
  <c r="C375" i="4"/>
  <c r="B375" i="4"/>
  <c r="A375" i="4"/>
  <c r="K374" i="4"/>
  <c r="J374" i="4"/>
  <c r="I374" i="4"/>
  <c r="H374" i="4"/>
  <c r="G374" i="4"/>
  <c r="F374" i="4"/>
  <c r="E374" i="4"/>
  <c r="D374" i="4"/>
  <c r="C374" i="4"/>
  <c r="B374" i="4"/>
  <c r="A374" i="4"/>
  <c r="K373" i="4"/>
  <c r="J373" i="4"/>
  <c r="H373" i="4"/>
  <c r="G373" i="4"/>
  <c r="F373" i="4"/>
  <c r="E373" i="4"/>
  <c r="D373" i="4"/>
  <c r="C373" i="4"/>
  <c r="B373" i="4"/>
  <c r="A373" i="4"/>
  <c r="K372" i="4"/>
  <c r="J372" i="4"/>
  <c r="I372" i="4"/>
  <c r="H372" i="4"/>
  <c r="G372" i="4"/>
  <c r="F372" i="4"/>
  <c r="E372" i="4"/>
  <c r="D372" i="4"/>
  <c r="C372" i="4"/>
  <c r="B372" i="4"/>
  <c r="A372" i="4"/>
  <c r="K371" i="4"/>
  <c r="J371" i="4"/>
  <c r="I371" i="4"/>
  <c r="H371" i="4"/>
  <c r="G371" i="4"/>
  <c r="F371" i="4"/>
  <c r="E371" i="4"/>
  <c r="D371" i="4"/>
  <c r="C371" i="4"/>
  <c r="B371" i="4"/>
  <c r="A371" i="4"/>
  <c r="K370" i="4"/>
  <c r="J370" i="4"/>
  <c r="I370" i="4"/>
  <c r="H370" i="4"/>
  <c r="G370" i="4"/>
  <c r="F370" i="4"/>
  <c r="E370" i="4"/>
  <c r="D370" i="4"/>
  <c r="C370" i="4"/>
  <c r="B370" i="4"/>
  <c r="A370" i="4"/>
  <c r="K369" i="4"/>
  <c r="J369" i="4"/>
  <c r="I369" i="4"/>
  <c r="H369" i="4"/>
  <c r="G369" i="4"/>
  <c r="F369" i="4"/>
  <c r="E369" i="4"/>
  <c r="D369" i="4"/>
  <c r="C369" i="4"/>
  <c r="B369" i="4"/>
  <c r="A369" i="4"/>
  <c r="K368" i="4"/>
  <c r="J368" i="4"/>
  <c r="I368" i="4"/>
  <c r="H368" i="4"/>
  <c r="G368" i="4"/>
  <c r="F368" i="4"/>
  <c r="E368" i="4"/>
  <c r="D368" i="4"/>
  <c r="C368" i="4"/>
  <c r="B368" i="4"/>
  <c r="A368" i="4"/>
  <c r="J367" i="4"/>
  <c r="I367" i="4"/>
  <c r="H367" i="4"/>
  <c r="G367" i="4"/>
  <c r="F367" i="4"/>
  <c r="E367" i="4"/>
  <c r="D367" i="4"/>
  <c r="C367" i="4"/>
  <c r="B367" i="4"/>
  <c r="A367" i="4"/>
  <c r="J366" i="4"/>
  <c r="I366" i="4"/>
  <c r="H366" i="4"/>
  <c r="G366" i="4"/>
  <c r="F366" i="4"/>
  <c r="E366" i="4"/>
  <c r="D366" i="4"/>
  <c r="C366" i="4"/>
  <c r="B366" i="4"/>
  <c r="A366" i="4"/>
  <c r="K365" i="4"/>
  <c r="J365" i="4"/>
  <c r="I365" i="4"/>
  <c r="H365" i="4"/>
  <c r="G365" i="4"/>
  <c r="F365" i="4"/>
  <c r="E365" i="4"/>
  <c r="D365" i="4"/>
  <c r="C365" i="4"/>
  <c r="B365" i="4"/>
  <c r="A365" i="4"/>
  <c r="K364" i="4"/>
  <c r="J364" i="4"/>
  <c r="I364" i="4"/>
  <c r="H364" i="4"/>
  <c r="G364" i="4"/>
  <c r="F364" i="4"/>
  <c r="E364" i="4"/>
  <c r="D364" i="4"/>
  <c r="C364" i="4"/>
  <c r="B364" i="4"/>
  <c r="A364" i="4"/>
  <c r="K363" i="4"/>
  <c r="J363" i="4"/>
  <c r="I363" i="4"/>
  <c r="H363" i="4"/>
  <c r="G363" i="4"/>
  <c r="F363" i="4"/>
  <c r="E363" i="4"/>
  <c r="D363" i="4"/>
  <c r="C363" i="4"/>
  <c r="B363" i="4"/>
  <c r="A363" i="4"/>
  <c r="K362" i="4"/>
  <c r="J362" i="4"/>
  <c r="I362" i="4"/>
  <c r="H362" i="4"/>
  <c r="G362" i="4"/>
  <c r="F362" i="4"/>
  <c r="E362" i="4"/>
  <c r="D362" i="4"/>
  <c r="C362" i="4"/>
  <c r="B362" i="4"/>
  <c r="A362" i="4"/>
  <c r="K361" i="4"/>
  <c r="J361" i="4"/>
  <c r="I361" i="4"/>
  <c r="H361" i="4"/>
  <c r="G361" i="4"/>
  <c r="F361" i="4"/>
  <c r="E361" i="4"/>
  <c r="D361" i="4"/>
  <c r="C361" i="4"/>
  <c r="B361" i="4"/>
  <c r="A361" i="4"/>
  <c r="J360" i="4"/>
  <c r="I360" i="4"/>
  <c r="H360" i="4"/>
  <c r="G360" i="4"/>
  <c r="F360" i="4"/>
  <c r="E360" i="4"/>
  <c r="D360" i="4"/>
  <c r="C360" i="4"/>
  <c r="B360" i="4"/>
  <c r="A360" i="4"/>
  <c r="J359" i="4"/>
  <c r="I359" i="4"/>
  <c r="H359" i="4"/>
  <c r="G359" i="4"/>
  <c r="F359" i="4"/>
  <c r="E359" i="4"/>
  <c r="D359" i="4"/>
  <c r="C359" i="4"/>
  <c r="B359" i="4"/>
  <c r="A359" i="4"/>
  <c r="K358" i="4"/>
  <c r="J358" i="4"/>
  <c r="I358" i="4"/>
  <c r="H358" i="4"/>
  <c r="G358" i="4"/>
  <c r="F358" i="4"/>
  <c r="E358" i="4"/>
  <c r="D358" i="4"/>
  <c r="C358" i="4"/>
  <c r="B358" i="4"/>
  <c r="A358" i="4"/>
  <c r="K357" i="4"/>
  <c r="J357" i="4"/>
  <c r="I357" i="4"/>
  <c r="H357" i="4"/>
  <c r="G357" i="4"/>
  <c r="F357" i="4"/>
  <c r="E357" i="4"/>
  <c r="D357" i="4"/>
  <c r="C357" i="4"/>
  <c r="B357" i="4"/>
  <c r="A357" i="4"/>
  <c r="K356" i="4"/>
  <c r="J356" i="4"/>
  <c r="I356" i="4"/>
  <c r="H356" i="4"/>
  <c r="G356" i="4"/>
  <c r="F356" i="4"/>
  <c r="E356" i="4"/>
  <c r="D356" i="4"/>
  <c r="C356" i="4"/>
  <c r="B356" i="4"/>
  <c r="A356" i="4"/>
  <c r="K355" i="4"/>
  <c r="J355" i="4"/>
  <c r="I355" i="4"/>
  <c r="H355" i="4"/>
  <c r="G355" i="4"/>
  <c r="F355" i="4"/>
  <c r="E355" i="4"/>
  <c r="D355" i="4"/>
  <c r="C355" i="4"/>
  <c r="B355" i="4"/>
  <c r="A355" i="4"/>
  <c r="K354" i="4"/>
  <c r="J354" i="4"/>
  <c r="I354" i="4"/>
  <c r="H354" i="4"/>
  <c r="G354" i="4"/>
  <c r="F354" i="4"/>
  <c r="E354" i="4"/>
  <c r="D354" i="4"/>
  <c r="C354" i="4"/>
  <c r="B354" i="4"/>
  <c r="A354" i="4"/>
  <c r="K353" i="4"/>
  <c r="J353" i="4"/>
  <c r="I353" i="4"/>
  <c r="H353" i="4"/>
  <c r="G353" i="4"/>
  <c r="F353" i="4"/>
  <c r="E353" i="4"/>
  <c r="D353" i="4"/>
  <c r="C353" i="4"/>
  <c r="B353" i="4"/>
  <c r="A353" i="4"/>
  <c r="K352" i="4"/>
  <c r="I352" i="4"/>
  <c r="H352" i="4"/>
  <c r="G352" i="4"/>
  <c r="F352" i="4"/>
  <c r="E352" i="4"/>
  <c r="D352" i="4"/>
  <c r="C352" i="4"/>
  <c r="B352" i="4"/>
  <c r="A352" i="4"/>
  <c r="J351" i="4"/>
  <c r="I351" i="4"/>
  <c r="H351" i="4"/>
  <c r="G351" i="4"/>
  <c r="F351" i="4"/>
  <c r="E351" i="4"/>
  <c r="D351" i="4"/>
  <c r="C351" i="4"/>
  <c r="B351" i="4"/>
  <c r="A351" i="4"/>
  <c r="K350" i="4"/>
  <c r="J350" i="4"/>
  <c r="I350" i="4"/>
  <c r="H350" i="4"/>
  <c r="G350" i="4"/>
  <c r="F350" i="4"/>
  <c r="E350" i="4"/>
  <c r="D350" i="4"/>
  <c r="C350" i="4"/>
  <c r="B350" i="4"/>
  <c r="A350" i="4"/>
  <c r="K349" i="4"/>
  <c r="J349" i="4"/>
  <c r="I349" i="4"/>
  <c r="H349" i="4"/>
  <c r="G349" i="4"/>
  <c r="F349" i="4"/>
  <c r="E349" i="4"/>
  <c r="D349" i="4"/>
  <c r="C349" i="4"/>
  <c r="B349" i="4"/>
  <c r="A349" i="4"/>
  <c r="K348" i="4"/>
  <c r="J348" i="4"/>
  <c r="I348" i="4"/>
  <c r="H348" i="4"/>
  <c r="G348" i="4"/>
  <c r="F348" i="4"/>
  <c r="E348" i="4"/>
  <c r="D348" i="4"/>
  <c r="C348" i="4"/>
  <c r="B348" i="4"/>
  <c r="A348" i="4"/>
  <c r="K347" i="4"/>
  <c r="J347" i="4"/>
  <c r="I347" i="4"/>
  <c r="H347" i="4"/>
  <c r="G347" i="4"/>
  <c r="F347" i="4"/>
  <c r="E347" i="4"/>
  <c r="D347" i="4"/>
  <c r="C347" i="4"/>
  <c r="B347" i="4"/>
  <c r="A347" i="4"/>
  <c r="J346" i="4"/>
  <c r="I346" i="4"/>
  <c r="H346" i="4"/>
  <c r="G346" i="4"/>
  <c r="F346" i="4"/>
  <c r="E346" i="4"/>
  <c r="D346" i="4"/>
  <c r="C346" i="4"/>
  <c r="B346" i="4"/>
  <c r="A346" i="4"/>
  <c r="J345" i="4"/>
  <c r="I345" i="4"/>
  <c r="H345" i="4"/>
  <c r="G345" i="4"/>
  <c r="F345" i="4"/>
  <c r="E345" i="4"/>
  <c r="D345" i="4"/>
  <c r="C345" i="4"/>
  <c r="B345" i="4"/>
  <c r="A345" i="4"/>
  <c r="J344" i="4"/>
  <c r="I344" i="4"/>
  <c r="H344" i="4"/>
  <c r="G344" i="4"/>
  <c r="F344" i="4"/>
  <c r="E344" i="4"/>
  <c r="D344" i="4"/>
  <c r="C344" i="4"/>
  <c r="B344" i="4"/>
  <c r="A344" i="4"/>
  <c r="J343" i="4"/>
  <c r="I343" i="4"/>
  <c r="H343" i="4"/>
  <c r="G343" i="4"/>
  <c r="F343" i="4"/>
  <c r="E343" i="4"/>
  <c r="D343" i="4"/>
  <c r="C343" i="4"/>
  <c r="B343" i="4"/>
  <c r="A343" i="4"/>
  <c r="J342" i="4"/>
  <c r="I342" i="4"/>
  <c r="H342" i="4"/>
  <c r="G342" i="4"/>
  <c r="F342" i="4"/>
  <c r="E342" i="4"/>
  <c r="D342" i="4"/>
  <c r="C342" i="4"/>
  <c r="B342" i="4"/>
  <c r="A342" i="4"/>
  <c r="J341" i="4"/>
  <c r="I341" i="4"/>
  <c r="H341" i="4"/>
  <c r="G341" i="4"/>
  <c r="F341" i="4"/>
  <c r="E341" i="4"/>
  <c r="D341" i="4"/>
  <c r="C341" i="4"/>
  <c r="B341" i="4"/>
  <c r="A341" i="4"/>
  <c r="J340" i="4"/>
  <c r="I340" i="4"/>
  <c r="H340" i="4"/>
  <c r="G340" i="4"/>
  <c r="F340" i="4"/>
  <c r="E340" i="4"/>
  <c r="D340" i="4"/>
  <c r="C340" i="4"/>
  <c r="B340" i="4"/>
  <c r="A340" i="4"/>
  <c r="J339" i="4"/>
  <c r="I339" i="4"/>
  <c r="H339" i="4"/>
  <c r="G339" i="4"/>
  <c r="F339" i="4"/>
  <c r="E339" i="4"/>
  <c r="D339" i="4"/>
  <c r="C339" i="4"/>
  <c r="B339" i="4"/>
  <c r="A339" i="4"/>
  <c r="J338" i="4"/>
  <c r="I338" i="4"/>
  <c r="H338" i="4"/>
  <c r="G338" i="4"/>
  <c r="F338" i="4"/>
  <c r="E338" i="4"/>
  <c r="D338" i="4"/>
  <c r="C338" i="4"/>
  <c r="B338" i="4"/>
  <c r="A338" i="4"/>
  <c r="J337" i="4"/>
  <c r="I337" i="4"/>
  <c r="H337" i="4"/>
  <c r="G337" i="4"/>
  <c r="F337" i="4"/>
  <c r="E337" i="4"/>
  <c r="D337" i="4"/>
  <c r="C337" i="4"/>
  <c r="B337" i="4"/>
  <c r="A337" i="4"/>
  <c r="J336" i="4"/>
  <c r="I336" i="4"/>
  <c r="H336" i="4"/>
  <c r="G336" i="4"/>
  <c r="F336" i="4"/>
  <c r="E336" i="4"/>
  <c r="D336" i="4"/>
  <c r="C336" i="4"/>
  <c r="B336" i="4"/>
  <c r="A336" i="4"/>
  <c r="J335" i="4"/>
  <c r="I335" i="4"/>
  <c r="H335" i="4"/>
  <c r="G335" i="4"/>
  <c r="F335" i="4"/>
  <c r="E335" i="4"/>
  <c r="D335" i="4"/>
  <c r="C335" i="4"/>
  <c r="B335" i="4"/>
  <c r="A335" i="4"/>
  <c r="J334" i="4"/>
  <c r="I334" i="4"/>
  <c r="H334" i="4"/>
  <c r="G334" i="4"/>
  <c r="F334" i="4"/>
  <c r="E334" i="4"/>
  <c r="D334" i="4"/>
  <c r="C334" i="4"/>
  <c r="B334" i="4"/>
  <c r="A334" i="4"/>
  <c r="J333" i="4"/>
  <c r="I333" i="4"/>
  <c r="H333" i="4"/>
  <c r="G333" i="4"/>
  <c r="F333" i="4"/>
  <c r="E333" i="4"/>
  <c r="D333" i="4"/>
  <c r="C333" i="4"/>
  <c r="B333" i="4"/>
  <c r="A333" i="4"/>
  <c r="J332" i="4"/>
  <c r="I332" i="4"/>
  <c r="H332" i="4"/>
  <c r="G332" i="4"/>
  <c r="F332" i="4"/>
  <c r="E332" i="4"/>
  <c r="D332" i="4"/>
  <c r="C332" i="4"/>
  <c r="B332" i="4"/>
  <c r="A332" i="4"/>
  <c r="J331" i="4"/>
  <c r="I331" i="4"/>
  <c r="H331" i="4"/>
  <c r="G331" i="4"/>
  <c r="F331" i="4"/>
  <c r="E331" i="4"/>
  <c r="D331" i="4"/>
  <c r="C331" i="4"/>
  <c r="B331" i="4"/>
  <c r="A331" i="4"/>
  <c r="J330" i="4"/>
  <c r="I330" i="4"/>
  <c r="H330" i="4"/>
  <c r="G330" i="4"/>
  <c r="F330" i="4"/>
  <c r="E330" i="4"/>
  <c r="D330" i="4"/>
  <c r="C330" i="4"/>
  <c r="B330" i="4"/>
  <c r="A330" i="4"/>
  <c r="J329" i="4"/>
  <c r="I329" i="4"/>
  <c r="H329" i="4"/>
  <c r="G329" i="4"/>
  <c r="F329" i="4"/>
  <c r="E329" i="4"/>
  <c r="D329" i="4"/>
  <c r="C329" i="4"/>
  <c r="B329" i="4"/>
  <c r="A329" i="4"/>
  <c r="J328" i="4"/>
  <c r="I328" i="4"/>
  <c r="H328" i="4"/>
  <c r="G328" i="4"/>
  <c r="F328" i="4"/>
  <c r="E328" i="4"/>
  <c r="D328" i="4"/>
  <c r="C328" i="4"/>
  <c r="B328" i="4"/>
  <c r="A328" i="4"/>
  <c r="J327" i="4"/>
  <c r="I327" i="4"/>
  <c r="H327" i="4"/>
  <c r="G327" i="4"/>
  <c r="F327" i="4"/>
  <c r="E327" i="4"/>
  <c r="D327" i="4"/>
  <c r="C327" i="4"/>
  <c r="B327" i="4"/>
  <c r="A327" i="4"/>
  <c r="J326" i="4"/>
  <c r="I326" i="4"/>
  <c r="H326" i="4"/>
  <c r="G326" i="4"/>
  <c r="F326" i="4"/>
  <c r="E326" i="4"/>
  <c r="D326" i="4"/>
  <c r="C326" i="4"/>
  <c r="B326" i="4"/>
  <c r="A326" i="4"/>
  <c r="J325" i="4"/>
  <c r="I325" i="4"/>
  <c r="H325" i="4"/>
  <c r="G325" i="4"/>
  <c r="F325" i="4"/>
  <c r="E325" i="4"/>
  <c r="D325" i="4"/>
  <c r="C325" i="4"/>
  <c r="B325" i="4"/>
  <c r="A325" i="4"/>
  <c r="J324" i="4"/>
  <c r="I324" i="4"/>
  <c r="H324" i="4"/>
  <c r="G324" i="4"/>
  <c r="F324" i="4"/>
  <c r="E324" i="4"/>
  <c r="D324" i="4"/>
  <c r="C324" i="4"/>
  <c r="B324" i="4"/>
  <c r="A324" i="4"/>
  <c r="J323" i="4"/>
  <c r="I323" i="4"/>
  <c r="H323" i="4"/>
  <c r="G323" i="4"/>
  <c r="F323" i="4"/>
  <c r="E323" i="4"/>
  <c r="D323" i="4"/>
  <c r="C323" i="4"/>
  <c r="B323" i="4"/>
  <c r="A323" i="4"/>
  <c r="J322" i="4"/>
  <c r="I322" i="4"/>
  <c r="H322" i="4"/>
  <c r="G322" i="4"/>
  <c r="F322" i="4"/>
  <c r="E322" i="4"/>
  <c r="D322" i="4"/>
  <c r="C322" i="4"/>
  <c r="B322" i="4"/>
  <c r="A322" i="4"/>
  <c r="J321" i="4"/>
  <c r="I321" i="4"/>
  <c r="H321" i="4"/>
  <c r="G321" i="4"/>
  <c r="F321" i="4"/>
  <c r="E321" i="4"/>
  <c r="D321" i="4"/>
  <c r="C321" i="4"/>
  <c r="B321" i="4"/>
  <c r="A321" i="4"/>
  <c r="J320" i="4"/>
  <c r="I320" i="4"/>
  <c r="H320" i="4"/>
  <c r="G320" i="4"/>
  <c r="F320" i="4"/>
  <c r="E320" i="4"/>
  <c r="D320" i="4"/>
  <c r="C320" i="4"/>
  <c r="B320" i="4"/>
  <c r="A320" i="4"/>
  <c r="J319" i="4"/>
  <c r="I319" i="4"/>
  <c r="H319" i="4"/>
  <c r="G319" i="4"/>
  <c r="F319" i="4"/>
  <c r="E319" i="4"/>
  <c r="D319" i="4"/>
  <c r="C319" i="4"/>
  <c r="B319" i="4"/>
  <c r="A319" i="4"/>
  <c r="J318" i="4"/>
  <c r="I318" i="4"/>
  <c r="H318" i="4"/>
  <c r="G318" i="4"/>
  <c r="F318" i="4"/>
  <c r="E318" i="4"/>
  <c r="D318" i="4"/>
  <c r="C318" i="4"/>
  <c r="B318" i="4"/>
  <c r="A318" i="4"/>
  <c r="J317" i="4"/>
  <c r="I317" i="4"/>
  <c r="H317" i="4"/>
  <c r="G317" i="4"/>
  <c r="F317" i="4"/>
  <c r="E317" i="4"/>
  <c r="D317" i="4"/>
  <c r="C317" i="4"/>
  <c r="B317" i="4"/>
  <c r="A317" i="4"/>
  <c r="J316" i="4"/>
  <c r="I316" i="4"/>
  <c r="H316" i="4"/>
  <c r="G316" i="4"/>
  <c r="F316" i="4"/>
  <c r="E316" i="4"/>
  <c r="D316" i="4"/>
  <c r="C316" i="4"/>
  <c r="B316" i="4"/>
  <c r="A316" i="4"/>
  <c r="J315" i="4"/>
  <c r="I315" i="4"/>
  <c r="H315" i="4"/>
  <c r="G315" i="4"/>
  <c r="F315" i="4"/>
  <c r="E315" i="4"/>
  <c r="D315" i="4"/>
  <c r="C315" i="4"/>
  <c r="B315" i="4"/>
  <c r="A315" i="4"/>
  <c r="J314" i="4"/>
  <c r="I314" i="4"/>
  <c r="H314" i="4"/>
  <c r="G314" i="4"/>
  <c r="F314" i="4"/>
  <c r="E314" i="4"/>
  <c r="D314" i="4"/>
  <c r="C314" i="4"/>
  <c r="B314" i="4"/>
  <c r="A314" i="4"/>
  <c r="J313" i="4"/>
  <c r="I313" i="4"/>
  <c r="H313" i="4"/>
  <c r="G313" i="4"/>
  <c r="F313" i="4"/>
  <c r="E313" i="4"/>
  <c r="D313" i="4"/>
  <c r="C313" i="4"/>
  <c r="B313" i="4"/>
  <c r="A313" i="4"/>
  <c r="J312" i="4"/>
  <c r="I312" i="4"/>
  <c r="H312" i="4"/>
  <c r="G312" i="4"/>
  <c r="F312" i="4"/>
  <c r="E312" i="4"/>
  <c r="D312" i="4"/>
  <c r="C312" i="4"/>
  <c r="B312" i="4"/>
  <c r="A312" i="4"/>
  <c r="J311" i="4"/>
  <c r="I311" i="4"/>
  <c r="H311" i="4"/>
  <c r="G311" i="4"/>
  <c r="F311" i="4"/>
  <c r="E311" i="4"/>
  <c r="D311" i="4"/>
  <c r="C311" i="4"/>
  <c r="B311" i="4"/>
  <c r="A311" i="4"/>
  <c r="J310" i="4"/>
  <c r="I310" i="4"/>
  <c r="H310" i="4"/>
  <c r="G310" i="4"/>
  <c r="F310" i="4"/>
  <c r="E310" i="4"/>
  <c r="D310" i="4"/>
  <c r="C310" i="4"/>
  <c r="B310" i="4"/>
  <c r="A310" i="4"/>
  <c r="J309" i="4"/>
  <c r="I309" i="4"/>
  <c r="H309" i="4"/>
  <c r="G309" i="4"/>
  <c r="F309" i="4"/>
  <c r="E309" i="4"/>
  <c r="D309" i="4"/>
  <c r="C309" i="4"/>
  <c r="B309" i="4"/>
  <c r="A309" i="4"/>
  <c r="J308" i="4"/>
  <c r="I308" i="4"/>
  <c r="H308" i="4"/>
  <c r="G308" i="4"/>
  <c r="F308" i="4"/>
  <c r="E308" i="4"/>
  <c r="D308" i="4"/>
  <c r="C308" i="4"/>
  <c r="B308" i="4"/>
  <c r="A308" i="4"/>
  <c r="J307" i="4"/>
  <c r="I307" i="4"/>
  <c r="H307" i="4"/>
  <c r="G307" i="4"/>
  <c r="F307" i="4"/>
  <c r="E307" i="4"/>
  <c r="D307" i="4"/>
  <c r="C307" i="4"/>
  <c r="B307" i="4"/>
  <c r="A307" i="4"/>
  <c r="J306" i="4"/>
  <c r="I306" i="4"/>
  <c r="H306" i="4"/>
  <c r="G306" i="4"/>
  <c r="F306" i="4"/>
  <c r="E306" i="4"/>
  <c r="D306" i="4"/>
  <c r="C306" i="4"/>
  <c r="B306" i="4"/>
  <c r="A306" i="4"/>
  <c r="J305" i="4"/>
  <c r="I305" i="4"/>
  <c r="H305" i="4"/>
  <c r="G305" i="4"/>
  <c r="F305" i="4"/>
  <c r="E305" i="4"/>
  <c r="D305" i="4"/>
  <c r="C305" i="4"/>
  <c r="B305" i="4"/>
  <c r="A305" i="4"/>
  <c r="J304" i="4"/>
  <c r="I304" i="4"/>
  <c r="H304" i="4"/>
  <c r="G304" i="4"/>
  <c r="F304" i="4"/>
  <c r="E304" i="4"/>
  <c r="D304" i="4"/>
  <c r="C304" i="4"/>
  <c r="B304" i="4"/>
  <c r="A304" i="4"/>
  <c r="J303" i="4"/>
  <c r="I303" i="4"/>
  <c r="H303" i="4"/>
  <c r="G303" i="4"/>
  <c r="F303" i="4"/>
  <c r="E303" i="4"/>
  <c r="D303" i="4"/>
  <c r="C303" i="4"/>
  <c r="B303" i="4"/>
  <c r="A303" i="4"/>
  <c r="J302" i="4"/>
  <c r="I302" i="4"/>
  <c r="H302" i="4"/>
  <c r="G302" i="4"/>
  <c r="F302" i="4"/>
  <c r="E302" i="4"/>
  <c r="D302" i="4"/>
  <c r="C302" i="4"/>
  <c r="B302" i="4"/>
  <c r="A302" i="4"/>
  <c r="J301" i="4"/>
  <c r="I301" i="4"/>
  <c r="H301" i="4"/>
  <c r="G301" i="4"/>
  <c r="F301" i="4"/>
  <c r="E301" i="4"/>
  <c r="D301" i="4"/>
  <c r="C301" i="4"/>
  <c r="B301" i="4"/>
  <c r="A301" i="4"/>
  <c r="J300" i="4"/>
  <c r="I300" i="4"/>
  <c r="H300" i="4"/>
  <c r="G300" i="4"/>
  <c r="F300" i="4"/>
  <c r="E300" i="4"/>
  <c r="D300" i="4"/>
  <c r="C300" i="4"/>
  <c r="B300" i="4"/>
  <c r="A300" i="4"/>
  <c r="J299" i="4"/>
  <c r="I299" i="4"/>
  <c r="H299" i="4"/>
  <c r="G299" i="4"/>
  <c r="F299" i="4"/>
  <c r="E299" i="4"/>
  <c r="D299" i="4"/>
  <c r="C299" i="4"/>
  <c r="B299" i="4"/>
  <c r="A299" i="4"/>
  <c r="J298" i="4"/>
  <c r="I298" i="4"/>
  <c r="H298" i="4"/>
  <c r="G298" i="4"/>
  <c r="F298" i="4"/>
  <c r="E298" i="4"/>
  <c r="D298" i="4"/>
  <c r="C298" i="4"/>
  <c r="B298" i="4"/>
  <c r="A298" i="4"/>
  <c r="J297" i="4"/>
  <c r="I297" i="4"/>
  <c r="H297" i="4"/>
  <c r="G297" i="4"/>
  <c r="F297" i="4"/>
  <c r="E297" i="4"/>
  <c r="D297" i="4"/>
  <c r="C297" i="4"/>
  <c r="B297" i="4"/>
  <c r="A297" i="4"/>
  <c r="J296" i="4"/>
  <c r="I296" i="4"/>
  <c r="H296" i="4"/>
  <c r="G296" i="4"/>
  <c r="F296" i="4"/>
  <c r="E296" i="4"/>
  <c r="D296" i="4"/>
  <c r="C296" i="4"/>
  <c r="B296" i="4"/>
  <c r="A296" i="4"/>
  <c r="J295" i="4"/>
  <c r="I295" i="4"/>
  <c r="H295" i="4"/>
  <c r="G295" i="4"/>
  <c r="F295" i="4"/>
  <c r="E295" i="4"/>
  <c r="D295" i="4"/>
  <c r="C295" i="4"/>
  <c r="B295" i="4"/>
  <c r="A295" i="4"/>
  <c r="J294" i="4"/>
  <c r="I294" i="4"/>
  <c r="H294" i="4"/>
  <c r="G294" i="4"/>
  <c r="F294" i="4"/>
  <c r="E294" i="4"/>
  <c r="D294" i="4"/>
  <c r="C294" i="4"/>
  <c r="B294" i="4"/>
  <c r="A294" i="4"/>
  <c r="J293" i="4"/>
  <c r="I293" i="4"/>
  <c r="H293" i="4"/>
  <c r="G293" i="4"/>
  <c r="F293" i="4"/>
  <c r="E293" i="4"/>
  <c r="D293" i="4"/>
  <c r="C293" i="4"/>
  <c r="B293" i="4"/>
  <c r="A293" i="4"/>
  <c r="K292" i="4"/>
  <c r="J292" i="4"/>
  <c r="I292" i="4"/>
  <c r="H292" i="4"/>
  <c r="G292" i="4"/>
  <c r="F292" i="4"/>
  <c r="E292" i="4"/>
  <c r="D292" i="4"/>
  <c r="C292" i="4"/>
  <c r="B292" i="4"/>
  <c r="A292" i="4"/>
  <c r="K291" i="4"/>
  <c r="J291" i="4"/>
  <c r="I291" i="4"/>
  <c r="H291" i="4"/>
  <c r="G291" i="4"/>
  <c r="F291" i="4"/>
  <c r="E291" i="4"/>
  <c r="D291" i="4"/>
  <c r="C291" i="4"/>
  <c r="B291" i="4"/>
  <c r="A291" i="4"/>
  <c r="K290" i="4"/>
  <c r="J290" i="4"/>
  <c r="I290" i="4"/>
  <c r="H290" i="4"/>
  <c r="G290" i="4"/>
  <c r="F290" i="4"/>
  <c r="E290" i="4"/>
  <c r="D290" i="4"/>
  <c r="C290" i="4"/>
  <c r="B290" i="4"/>
  <c r="A290" i="4"/>
  <c r="K289" i="4"/>
  <c r="J289" i="4"/>
  <c r="I289" i="4"/>
  <c r="H289" i="4"/>
  <c r="G289" i="4"/>
  <c r="F289" i="4"/>
  <c r="E289" i="4"/>
  <c r="D289" i="4"/>
  <c r="C289" i="4"/>
  <c r="B289" i="4"/>
  <c r="A289" i="4"/>
  <c r="K288" i="4"/>
  <c r="J288" i="4"/>
  <c r="I288" i="4"/>
  <c r="H288" i="4"/>
  <c r="G288" i="4"/>
  <c r="F288" i="4"/>
  <c r="E288" i="4"/>
  <c r="D288" i="4"/>
  <c r="C288" i="4"/>
  <c r="B288" i="4"/>
  <c r="A288" i="4"/>
  <c r="K287" i="4"/>
  <c r="J287" i="4"/>
  <c r="I287" i="4"/>
  <c r="H287" i="4"/>
  <c r="G287" i="4"/>
  <c r="F287" i="4"/>
  <c r="E287" i="4"/>
  <c r="D287" i="4"/>
  <c r="C287" i="4"/>
  <c r="B287" i="4"/>
  <c r="A287" i="4"/>
  <c r="K286" i="4"/>
  <c r="J286" i="4"/>
  <c r="I286" i="4"/>
  <c r="H286" i="4"/>
  <c r="G286" i="4"/>
  <c r="F286" i="4"/>
  <c r="E286" i="4"/>
  <c r="D286" i="4"/>
  <c r="C286" i="4"/>
  <c r="B286" i="4"/>
  <c r="A286" i="4"/>
  <c r="K285" i="4"/>
  <c r="J285" i="4"/>
  <c r="I285" i="4"/>
  <c r="H285" i="4"/>
  <c r="G285" i="4"/>
  <c r="F285" i="4"/>
  <c r="E285" i="4"/>
  <c r="D285" i="4"/>
  <c r="C285" i="4"/>
  <c r="B285" i="4"/>
  <c r="A285" i="4"/>
  <c r="K284" i="4"/>
  <c r="J284" i="4"/>
  <c r="I284" i="4"/>
  <c r="H284" i="4"/>
  <c r="G284" i="4"/>
  <c r="F284" i="4"/>
  <c r="E284" i="4"/>
  <c r="D284" i="4"/>
  <c r="C284" i="4"/>
  <c r="B284" i="4"/>
  <c r="A284" i="4"/>
  <c r="K283" i="4"/>
  <c r="J283" i="4"/>
  <c r="I283" i="4"/>
  <c r="H283" i="4"/>
  <c r="G283" i="4"/>
  <c r="F283" i="4"/>
  <c r="E283" i="4"/>
  <c r="D283" i="4"/>
  <c r="C283" i="4"/>
  <c r="B283" i="4"/>
  <c r="A283" i="4"/>
  <c r="K282" i="4"/>
  <c r="J282" i="4"/>
  <c r="I282" i="4"/>
  <c r="H282" i="4"/>
  <c r="G282" i="4"/>
  <c r="F282" i="4"/>
  <c r="E282" i="4"/>
  <c r="D282" i="4"/>
  <c r="C282" i="4"/>
  <c r="B282" i="4"/>
  <c r="A282" i="4"/>
  <c r="K281" i="4"/>
  <c r="J281" i="4"/>
  <c r="I281" i="4"/>
  <c r="H281" i="4"/>
  <c r="G281" i="4"/>
  <c r="F281" i="4"/>
  <c r="E281" i="4"/>
  <c r="D281" i="4"/>
  <c r="C281" i="4"/>
  <c r="B281" i="4"/>
  <c r="A281" i="4"/>
  <c r="K280" i="4"/>
  <c r="J280" i="4"/>
  <c r="I280" i="4"/>
  <c r="H280" i="4"/>
  <c r="G280" i="4"/>
  <c r="F280" i="4"/>
  <c r="E280" i="4"/>
  <c r="D280" i="4"/>
  <c r="C280" i="4"/>
  <c r="B280" i="4"/>
  <c r="A280" i="4"/>
  <c r="K279" i="4"/>
  <c r="J279" i="4"/>
  <c r="I279" i="4"/>
  <c r="H279" i="4"/>
  <c r="G279" i="4"/>
  <c r="F279" i="4"/>
  <c r="E279" i="4"/>
  <c r="D279" i="4"/>
  <c r="C279" i="4"/>
  <c r="B279" i="4"/>
  <c r="A279" i="4"/>
  <c r="K278" i="4"/>
  <c r="J278" i="4"/>
  <c r="I278" i="4"/>
  <c r="H278" i="4"/>
  <c r="G278" i="4"/>
  <c r="F278" i="4"/>
  <c r="E278" i="4"/>
  <c r="D278" i="4"/>
  <c r="C278" i="4"/>
  <c r="B278" i="4"/>
  <c r="A278" i="4"/>
  <c r="K277" i="4"/>
  <c r="J277" i="4"/>
  <c r="I277" i="4"/>
  <c r="H277" i="4"/>
  <c r="G277" i="4"/>
  <c r="F277" i="4"/>
  <c r="E277" i="4"/>
  <c r="D277" i="4"/>
  <c r="C277" i="4"/>
  <c r="B277" i="4"/>
  <c r="A277" i="4"/>
  <c r="K276" i="4"/>
  <c r="J276" i="4"/>
  <c r="I276" i="4"/>
  <c r="H276" i="4"/>
  <c r="G276" i="4"/>
  <c r="F276" i="4"/>
  <c r="E276" i="4"/>
  <c r="D276" i="4"/>
  <c r="C276" i="4"/>
  <c r="B276" i="4"/>
  <c r="A276" i="4"/>
  <c r="K275" i="4"/>
  <c r="J275" i="4"/>
  <c r="I275" i="4"/>
  <c r="H275" i="4"/>
  <c r="G275" i="4"/>
  <c r="F275" i="4"/>
  <c r="E275" i="4"/>
  <c r="D275" i="4"/>
  <c r="C275" i="4"/>
  <c r="B275" i="4"/>
  <c r="A275" i="4"/>
  <c r="J274" i="4"/>
  <c r="I274" i="4"/>
  <c r="H274" i="4"/>
  <c r="G274" i="4"/>
  <c r="F274" i="4"/>
  <c r="E274" i="4"/>
  <c r="D274" i="4"/>
  <c r="C274" i="4"/>
  <c r="B274" i="4"/>
  <c r="A274" i="4"/>
  <c r="J273" i="4"/>
  <c r="I273" i="4"/>
  <c r="H273" i="4"/>
  <c r="G273" i="4"/>
  <c r="F273" i="4"/>
  <c r="E273" i="4"/>
  <c r="D273" i="4"/>
  <c r="C273" i="4"/>
  <c r="B273" i="4"/>
  <c r="A273" i="4"/>
  <c r="J272" i="4"/>
  <c r="I272" i="4"/>
  <c r="H272" i="4"/>
  <c r="G272" i="4"/>
  <c r="F272" i="4"/>
  <c r="E272" i="4"/>
  <c r="D272" i="4"/>
  <c r="C272" i="4"/>
  <c r="B272" i="4"/>
  <c r="A272" i="4"/>
  <c r="K271" i="4"/>
  <c r="J271" i="4"/>
  <c r="I271" i="4"/>
  <c r="H271" i="4"/>
  <c r="G271" i="4"/>
  <c r="F271" i="4"/>
  <c r="E271" i="4"/>
  <c r="D271" i="4"/>
  <c r="C271" i="4"/>
  <c r="B271" i="4"/>
  <c r="A271" i="4"/>
  <c r="K270" i="4"/>
  <c r="J270" i="4"/>
  <c r="I270" i="4"/>
  <c r="H270" i="4"/>
  <c r="G270" i="4"/>
  <c r="F270" i="4"/>
  <c r="E270" i="4"/>
  <c r="D270" i="4"/>
  <c r="C270" i="4"/>
  <c r="B270" i="4"/>
  <c r="A270" i="4"/>
  <c r="K269" i="4"/>
  <c r="J269" i="4"/>
  <c r="I269" i="4"/>
  <c r="H269" i="4"/>
  <c r="G269" i="4"/>
  <c r="F269" i="4"/>
  <c r="E269" i="4"/>
  <c r="D269" i="4"/>
  <c r="C269" i="4"/>
  <c r="B269" i="4"/>
  <c r="A269" i="4"/>
  <c r="K268" i="4"/>
  <c r="J268" i="4"/>
  <c r="I268" i="4"/>
  <c r="H268" i="4"/>
  <c r="G268" i="4"/>
  <c r="F268" i="4"/>
  <c r="E268" i="4"/>
  <c r="D268" i="4"/>
  <c r="C268" i="4"/>
  <c r="B268" i="4"/>
  <c r="A268" i="4"/>
  <c r="K267" i="4"/>
  <c r="J267" i="4"/>
  <c r="I267" i="4"/>
  <c r="H267" i="4"/>
  <c r="G267" i="4"/>
  <c r="F267" i="4"/>
  <c r="E267" i="4"/>
  <c r="D267" i="4"/>
  <c r="C267" i="4"/>
  <c r="B267" i="4"/>
  <c r="A267" i="4"/>
  <c r="K266" i="4"/>
  <c r="J266" i="4"/>
  <c r="I266" i="4"/>
  <c r="H266" i="4"/>
  <c r="G266" i="4"/>
  <c r="F266" i="4"/>
  <c r="E266" i="4"/>
  <c r="D266" i="4"/>
  <c r="C266" i="4"/>
  <c r="B266" i="4"/>
  <c r="A266" i="4"/>
  <c r="K265" i="4"/>
  <c r="J265" i="4"/>
  <c r="I265" i="4"/>
  <c r="H265" i="4"/>
  <c r="G265" i="4"/>
  <c r="F265" i="4"/>
  <c r="E265" i="4"/>
  <c r="D265" i="4"/>
  <c r="C265" i="4"/>
  <c r="B265" i="4"/>
  <c r="A265" i="4"/>
  <c r="K264" i="4"/>
  <c r="J264" i="4"/>
  <c r="I264" i="4"/>
  <c r="H264" i="4"/>
  <c r="G264" i="4"/>
  <c r="F264" i="4"/>
  <c r="E264" i="4"/>
  <c r="D264" i="4"/>
  <c r="C264" i="4"/>
  <c r="B264" i="4"/>
  <c r="A264" i="4"/>
  <c r="K263" i="4"/>
  <c r="J263" i="4"/>
  <c r="I263" i="4"/>
  <c r="H263" i="4"/>
  <c r="G263" i="4"/>
  <c r="F263" i="4"/>
  <c r="E263" i="4"/>
  <c r="D263" i="4"/>
  <c r="C263" i="4"/>
  <c r="B263" i="4"/>
  <c r="A263" i="4"/>
  <c r="J262" i="4"/>
  <c r="I262" i="4"/>
  <c r="H262" i="4"/>
  <c r="G262" i="4"/>
  <c r="F262" i="4"/>
  <c r="E262" i="4"/>
  <c r="D262" i="4"/>
  <c r="C262" i="4"/>
  <c r="B262" i="4"/>
  <c r="A262" i="4"/>
  <c r="J261" i="4"/>
  <c r="I261" i="4"/>
  <c r="H261" i="4"/>
  <c r="G261" i="4"/>
  <c r="F261" i="4"/>
  <c r="E261" i="4"/>
  <c r="D261" i="4"/>
  <c r="C261" i="4"/>
  <c r="B261" i="4"/>
  <c r="A261" i="4"/>
  <c r="J260" i="4"/>
  <c r="I260" i="4"/>
  <c r="H260" i="4"/>
  <c r="G260" i="4"/>
  <c r="F260" i="4"/>
  <c r="E260" i="4"/>
  <c r="D260" i="4"/>
  <c r="C260" i="4"/>
  <c r="B260" i="4"/>
  <c r="A260" i="4"/>
  <c r="J259" i="4"/>
  <c r="I259" i="4"/>
  <c r="H259" i="4"/>
  <c r="G259" i="4"/>
  <c r="F259" i="4"/>
  <c r="E259" i="4"/>
  <c r="D259" i="4"/>
  <c r="C259" i="4"/>
  <c r="B259" i="4"/>
  <c r="A259" i="4"/>
  <c r="J258" i="4"/>
  <c r="I258" i="4"/>
  <c r="H258" i="4"/>
  <c r="G258" i="4"/>
  <c r="F258" i="4"/>
  <c r="E258" i="4"/>
  <c r="D258" i="4"/>
  <c r="C258" i="4"/>
  <c r="B258" i="4"/>
  <c r="A258" i="4"/>
  <c r="J257" i="4"/>
  <c r="I257" i="4"/>
  <c r="H257" i="4"/>
  <c r="G257" i="4"/>
  <c r="F257" i="4"/>
  <c r="E257" i="4"/>
  <c r="D257" i="4"/>
  <c r="C257" i="4"/>
  <c r="B257" i="4"/>
  <c r="A257" i="4"/>
  <c r="J256" i="4"/>
  <c r="I256" i="4"/>
  <c r="H256" i="4"/>
  <c r="G256" i="4"/>
  <c r="F256" i="4"/>
  <c r="E256" i="4"/>
  <c r="D256" i="4"/>
  <c r="C256" i="4"/>
  <c r="B256" i="4"/>
  <c r="A256" i="4"/>
  <c r="K255" i="4"/>
  <c r="J255" i="4"/>
  <c r="I255" i="4"/>
  <c r="H255" i="4"/>
  <c r="G255" i="4"/>
  <c r="F255" i="4"/>
  <c r="E255" i="4"/>
  <c r="D255" i="4"/>
  <c r="C255" i="4"/>
  <c r="B255" i="4"/>
  <c r="A255" i="4"/>
  <c r="K254" i="4"/>
  <c r="J254" i="4"/>
  <c r="I254" i="4"/>
  <c r="H254" i="4"/>
  <c r="G254" i="4"/>
  <c r="F254" i="4"/>
  <c r="E254" i="4"/>
  <c r="D254" i="4"/>
  <c r="C254" i="4"/>
  <c r="B254" i="4"/>
  <c r="A254" i="4"/>
  <c r="K253" i="4"/>
  <c r="J253" i="4"/>
  <c r="I253" i="4"/>
  <c r="H253" i="4"/>
  <c r="G253" i="4"/>
  <c r="F253" i="4"/>
  <c r="E253" i="4"/>
  <c r="D253" i="4"/>
  <c r="C253" i="4"/>
  <c r="B253" i="4"/>
  <c r="A253" i="4"/>
  <c r="K252" i="4"/>
  <c r="J252" i="4"/>
  <c r="I252" i="4"/>
  <c r="H252" i="4"/>
  <c r="G252" i="4"/>
  <c r="F252" i="4"/>
  <c r="E252" i="4"/>
  <c r="D252" i="4"/>
  <c r="C252" i="4"/>
  <c r="B252" i="4"/>
  <c r="A252" i="4"/>
  <c r="K251" i="4"/>
  <c r="J251" i="4"/>
  <c r="I251" i="4"/>
  <c r="H251" i="4"/>
  <c r="G251" i="4"/>
  <c r="F251" i="4"/>
  <c r="E251" i="4"/>
  <c r="D251" i="4"/>
  <c r="C251" i="4"/>
  <c r="B251" i="4"/>
  <c r="A251" i="4"/>
  <c r="K250" i="4"/>
  <c r="J250" i="4"/>
  <c r="I250" i="4"/>
  <c r="H250" i="4"/>
  <c r="G250" i="4"/>
  <c r="F250" i="4"/>
  <c r="E250" i="4"/>
  <c r="D250" i="4"/>
  <c r="C250" i="4"/>
  <c r="B250" i="4"/>
  <c r="A250" i="4"/>
  <c r="K249" i="4"/>
  <c r="J249" i="4"/>
  <c r="I249" i="4"/>
  <c r="H249" i="4"/>
  <c r="G249" i="4"/>
  <c r="F249" i="4"/>
  <c r="E249" i="4"/>
  <c r="D249" i="4"/>
  <c r="C249" i="4"/>
  <c r="B249" i="4"/>
  <c r="A249" i="4"/>
  <c r="K248" i="4"/>
  <c r="J248" i="4"/>
  <c r="I248" i="4"/>
  <c r="H248" i="4"/>
  <c r="G248" i="4"/>
  <c r="F248" i="4"/>
  <c r="E248" i="4"/>
  <c r="D248" i="4"/>
  <c r="C248" i="4"/>
  <c r="B248" i="4"/>
  <c r="A248" i="4"/>
  <c r="K247" i="4"/>
  <c r="J247" i="4"/>
  <c r="I247" i="4"/>
  <c r="H247" i="4"/>
  <c r="G247" i="4"/>
  <c r="F247" i="4"/>
  <c r="E247" i="4"/>
  <c r="D247" i="4"/>
  <c r="C247" i="4"/>
  <c r="B247" i="4"/>
  <c r="A247" i="4"/>
  <c r="K246" i="4"/>
  <c r="J246" i="4"/>
  <c r="I246" i="4"/>
  <c r="H246" i="4"/>
  <c r="G246" i="4"/>
  <c r="F246" i="4"/>
  <c r="E246" i="4"/>
  <c r="D246" i="4"/>
  <c r="C246" i="4"/>
  <c r="B246" i="4"/>
  <c r="A246" i="4"/>
  <c r="K245" i="4"/>
  <c r="J245" i="4"/>
  <c r="I245" i="4"/>
  <c r="H245" i="4"/>
  <c r="G245" i="4"/>
  <c r="F245" i="4"/>
  <c r="E245" i="4"/>
  <c r="D245" i="4"/>
  <c r="C245" i="4"/>
  <c r="B245" i="4"/>
  <c r="A245" i="4"/>
  <c r="K244" i="4"/>
  <c r="J244" i="4"/>
  <c r="H244" i="4"/>
  <c r="G244" i="4"/>
  <c r="F244" i="4"/>
  <c r="E244" i="4"/>
  <c r="D244" i="4"/>
  <c r="C244" i="4"/>
  <c r="B244" i="4"/>
  <c r="A244" i="4"/>
  <c r="K243" i="4"/>
  <c r="J243" i="4"/>
  <c r="G243" i="4"/>
  <c r="F243" i="4"/>
  <c r="E243" i="4"/>
  <c r="D243" i="4"/>
  <c r="C243" i="4"/>
  <c r="B243" i="4"/>
  <c r="A243" i="4"/>
  <c r="J242" i="4"/>
  <c r="I242" i="4"/>
  <c r="H242" i="4"/>
  <c r="G242" i="4"/>
  <c r="F242" i="4"/>
  <c r="E242" i="4"/>
  <c r="D242" i="4"/>
  <c r="C242" i="4"/>
  <c r="B242" i="4"/>
  <c r="A242" i="4"/>
  <c r="J241" i="4"/>
  <c r="I241" i="4"/>
  <c r="H241" i="4"/>
  <c r="G241" i="4"/>
  <c r="F241" i="4"/>
  <c r="E241" i="4"/>
  <c r="D241" i="4"/>
  <c r="C241" i="4"/>
  <c r="B241" i="4"/>
  <c r="A241" i="4"/>
  <c r="J240" i="4"/>
  <c r="I240" i="4"/>
  <c r="H240" i="4"/>
  <c r="G240" i="4"/>
  <c r="F240" i="4"/>
  <c r="E240" i="4"/>
  <c r="D240" i="4"/>
  <c r="C240" i="4"/>
  <c r="B240" i="4"/>
  <c r="A240" i="4"/>
  <c r="J239" i="4"/>
  <c r="I239" i="4"/>
  <c r="H239" i="4"/>
  <c r="G239" i="4"/>
  <c r="F239" i="4"/>
  <c r="E239" i="4"/>
  <c r="D239" i="4"/>
  <c r="C239" i="4"/>
  <c r="B239" i="4"/>
  <c r="A239" i="4"/>
  <c r="J238" i="4"/>
  <c r="I238" i="4"/>
  <c r="H238" i="4"/>
  <c r="G238" i="4"/>
  <c r="F238" i="4"/>
  <c r="E238" i="4"/>
  <c r="D238" i="4"/>
  <c r="C238" i="4"/>
  <c r="B238" i="4"/>
  <c r="A238" i="4"/>
  <c r="J237" i="4"/>
  <c r="I237" i="4"/>
  <c r="H237" i="4"/>
  <c r="G237" i="4"/>
  <c r="F237" i="4"/>
  <c r="E237" i="4"/>
  <c r="D237" i="4"/>
  <c r="C237" i="4"/>
  <c r="B237" i="4"/>
  <c r="A237" i="4"/>
  <c r="J236" i="4"/>
  <c r="I236" i="4"/>
  <c r="H236" i="4"/>
  <c r="G236" i="4"/>
  <c r="F236" i="4"/>
  <c r="E236" i="4"/>
  <c r="D236" i="4"/>
  <c r="C236" i="4"/>
  <c r="B236" i="4"/>
  <c r="A236" i="4"/>
  <c r="J235" i="4"/>
  <c r="I235" i="4"/>
  <c r="H235" i="4"/>
  <c r="G235" i="4"/>
  <c r="F235" i="4"/>
  <c r="E235" i="4"/>
  <c r="D235" i="4"/>
  <c r="C235" i="4"/>
  <c r="B235" i="4"/>
  <c r="A235" i="4"/>
  <c r="J234" i="4"/>
  <c r="I234" i="4"/>
  <c r="H234" i="4"/>
  <c r="G234" i="4"/>
  <c r="F234" i="4"/>
  <c r="E234" i="4"/>
  <c r="D234" i="4"/>
  <c r="C234" i="4"/>
  <c r="B234" i="4"/>
  <c r="A234" i="4"/>
  <c r="J233" i="4"/>
  <c r="I233" i="4"/>
  <c r="H233" i="4"/>
  <c r="G233" i="4"/>
  <c r="F233" i="4"/>
  <c r="E233" i="4"/>
  <c r="D233" i="4"/>
  <c r="C233" i="4"/>
  <c r="B233" i="4"/>
  <c r="A233" i="4"/>
  <c r="J232" i="4"/>
  <c r="I232" i="4"/>
  <c r="H232" i="4"/>
  <c r="G232" i="4"/>
  <c r="F232" i="4"/>
  <c r="E232" i="4"/>
  <c r="D232" i="4"/>
  <c r="C232" i="4"/>
  <c r="B232" i="4"/>
  <c r="A232" i="4"/>
  <c r="J231" i="4"/>
  <c r="I231" i="4"/>
  <c r="H231" i="4"/>
  <c r="G231" i="4"/>
  <c r="F231" i="4"/>
  <c r="E231" i="4"/>
  <c r="D231" i="4"/>
  <c r="C231" i="4"/>
  <c r="B231" i="4"/>
  <c r="A231" i="4"/>
  <c r="J230" i="4"/>
  <c r="I230" i="4"/>
  <c r="H230" i="4"/>
  <c r="G230" i="4"/>
  <c r="F230" i="4"/>
  <c r="E230" i="4"/>
  <c r="D230" i="4"/>
  <c r="C230" i="4"/>
  <c r="B230" i="4"/>
  <c r="A230" i="4"/>
  <c r="J229" i="4"/>
  <c r="I229" i="4"/>
  <c r="H229" i="4"/>
  <c r="G229" i="4"/>
  <c r="F229" i="4"/>
  <c r="E229" i="4"/>
  <c r="D229" i="4"/>
  <c r="C229" i="4"/>
  <c r="B229" i="4"/>
  <c r="A229" i="4"/>
  <c r="J228" i="4"/>
  <c r="I228" i="4"/>
  <c r="H228" i="4"/>
  <c r="G228" i="4"/>
  <c r="F228" i="4"/>
  <c r="E228" i="4"/>
  <c r="D228" i="4"/>
  <c r="C228" i="4"/>
  <c r="B228" i="4"/>
  <c r="A228" i="4"/>
  <c r="J227" i="4"/>
  <c r="I227" i="4"/>
  <c r="H227" i="4"/>
  <c r="G227" i="4"/>
  <c r="F227" i="4"/>
  <c r="E227" i="4"/>
  <c r="D227" i="4"/>
  <c r="C227" i="4"/>
  <c r="B227" i="4"/>
  <c r="A227" i="4"/>
  <c r="J226" i="4"/>
  <c r="I226" i="4"/>
  <c r="H226" i="4"/>
  <c r="G226" i="4"/>
  <c r="F226" i="4"/>
  <c r="E226" i="4"/>
  <c r="D226" i="4"/>
  <c r="C226" i="4"/>
  <c r="B226" i="4"/>
  <c r="A226" i="4"/>
  <c r="J225" i="4"/>
  <c r="I225" i="4"/>
  <c r="H225" i="4"/>
  <c r="G225" i="4"/>
  <c r="F225" i="4"/>
  <c r="E225" i="4"/>
  <c r="D225" i="4"/>
  <c r="C225" i="4"/>
  <c r="B225" i="4"/>
  <c r="A225" i="4"/>
  <c r="J224" i="4"/>
  <c r="I224" i="4"/>
  <c r="H224" i="4"/>
  <c r="G224" i="4"/>
  <c r="F224" i="4"/>
  <c r="E224" i="4"/>
  <c r="D224" i="4"/>
  <c r="C224" i="4"/>
  <c r="B224" i="4"/>
  <c r="A224" i="4"/>
  <c r="J223" i="4"/>
  <c r="I223" i="4"/>
  <c r="H223" i="4"/>
  <c r="G223" i="4"/>
  <c r="F223" i="4"/>
  <c r="E223" i="4"/>
  <c r="D223" i="4"/>
  <c r="C223" i="4"/>
  <c r="B223" i="4"/>
  <c r="A223" i="4"/>
  <c r="J222" i="4"/>
  <c r="I222" i="4"/>
  <c r="H222" i="4"/>
  <c r="G222" i="4"/>
  <c r="F222" i="4"/>
  <c r="E222" i="4"/>
  <c r="D222" i="4"/>
  <c r="C222" i="4"/>
  <c r="B222" i="4"/>
  <c r="A222" i="4"/>
  <c r="J221" i="4"/>
  <c r="I221" i="4"/>
  <c r="H221" i="4"/>
  <c r="G221" i="4"/>
  <c r="F221" i="4"/>
  <c r="E221" i="4"/>
  <c r="D221" i="4"/>
  <c r="C221" i="4"/>
  <c r="B221" i="4"/>
  <c r="A221" i="4"/>
  <c r="J220" i="4"/>
  <c r="I220" i="4"/>
  <c r="H220" i="4"/>
  <c r="G220" i="4"/>
  <c r="F220" i="4"/>
  <c r="E220" i="4"/>
  <c r="D220" i="4"/>
  <c r="C220" i="4"/>
  <c r="B220" i="4"/>
  <c r="A220" i="4"/>
  <c r="K219" i="4"/>
  <c r="J219" i="4"/>
  <c r="I219" i="4"/>
  <c r="H219" i="4"/>
  <c r="G219" i="4"/>
  <c r="F219" i="4"/>
  <c r="E219" i="4"/>
  <c r="D219" i="4"/>
  <c r="C219" i="4"/>
  <c r="B219" i="4"/>
  <c r="A219" i="4"/>
  <c r="K218" i="4"/>
  <c r="J218" i="4"/>
  <c r="I218" i="4"/>
  <c r="H218" i="4"/>
  <c r="G218" i="4"/>
  <c r="F218" i="4"/>
  <c r="E218" i="4"/>
  <c r="D218" i="4"/>
  <c r="C218" i="4"/>
  <c r="B218" i="4"/>
  <c r="A218" i="4"/>
  <c r="K217" i="4"/>
  <c r="J217" i="4"/>
  <c r="I217" i="4"/>
  <c r="H217" i="4"/>
  <c r="G217" i="4"/>
  <c r="F217" i="4"/>
  <c r="E217" i="4"/>
  <c r="D217" i="4"/>
  <c r="C217" i="4"/>
  <c r="B217" i="4"/>
  <c r="A217" i="4"/>
  <c r="K216" i="4"/>
  <c r="J216" i="4"/>
  <c r="I216" i="4"/>
  <c r="H216" i="4"/>
  <c r="G216" i="4"/>
  <c r="F216" i="4"/>
  <c r="E216" i="4"/>
  <c r="D216" i="4"/>
  <c r="C216" i="4"/>
  <c r="B216" i="4"/>
  <c r="A216" i="4"/>
  <c r="K215" i="4"/>
  <c r="J215" i="4"/>
  <c r="I215" i="4"/>
  <c r="H215" i="4"/>
  <c r="G215" i="4"/>
  <c r="F215" i="4"/>
  <c r="E215" i="4"/>
  <c r="D215" i="4"/>
  <c r="C215" i="4"/>
  <c r="B215" i="4"/>
  <c r="A215" i="4"/>
  <c r="K214" i="4"/>
  <c r="J214" i="4"/>
  <c r="I214" i="4"/>
  <c r="H214" i="4"/>
  <c r="G214" i="4"/>
  <c r="F214" i="4"/>
  <c r="E214" i="4"/>
  <c r="D214" i="4"/>
  <c r="C214" i="4"/>
  <c r="B214" i="4"/>
  <c r="A214" i="4"/>
  <c r="K213" i="4"/>
  <c r="J213" i="4"/>
  <c r="I213" i="4"/>
  <c r="H213" i="4"/>
  <c r="G213" i="4"/>
  <c r="F213" i="4"/>
  <c r="E213" i="4"/>
  <c r="D213" i="4"/>
  <c r="C213" i="4"/>
  <c r="B213" i="4"/>
  <c r="A213" i="4"/>
  <c r="J212" i="4"/>
  <c r="I212" i="4"/>
  <c r="H212" i="4"/>
  <c r="G212" i="4"/>
  <c r="F212" i="4"/>
  <c r="E212" i="4"/>
  <c r="D212" i="4"/>
  <c r="C212" i="4"/>
  <c r="B212" i="4"/>
  <c r="A212" i="4"/>
  <c r="J211" i="4"/>
  <c r="I211" i="4"/>
  <c r="H211" i="4"/>
  <c r="G211" i="4"/>
  <c r="F211" i="4"/>
  <c r="E211" i="4"/>
  <c r="D211" i="4"/>
  <c r="C211" i="4"/>
  <c r="B211" i="4"/>
  <c r="A211" i="4"/>
  <c r="J210" i="4"/>
  <c r="I210" i="4"/>
  <c r="H210" i="4"/>
  <c r="G210" i="4"/>
  <c r="F210" i="4"/>
  <c r="E210" i="4"/>
  <c r="D210" i="4"/>
  <c r="C210" i="4"/>
  <c r="B210" i="4"/>
  <c r="A210" i="4"/>
  <c r="K209" i="4"/>
  <c r="J209" i="4"/>
  <c r="I209" i="4"/>
  <c r="H209" i="4"/>
  <c r="G209" i="4"/>
  <c r="F209" i="4"/>
  <c r="E209" i="4"/>
  <c r="D209" i="4"/>
  <c r="C209" i="4"/>
  <c r="B209" i="4"/>
  <c r="A209" i="4"/>
  <c r="K208" i="4"/>
  <c r="J208" i="4"/>
  <c r="I208" i="4"/>
  <c r="H208" i="4"/>
  <c r="G208" i="4"/>
  <c r="F208" i="4"/>
  <c r="E208" i="4"/>
  <c r="D208" i="4"/>
  <c r="C208" i="4"/>
  <c r="B208" i="4"/>
  <c r="A208" i="4"/>
  <c r="K207" i="4"/>
  <c r="J207" i="4"/>
  <c r="I207" i="4"/>
  <c r="H207" i="4"/>
  <c r="G207" i="4"/>
  <c r="F207" i="4"/>
  <c r="E207" i="4"/>
  <c r="D207" i="4"/>
  <c r="C207" i="4"/>
  <c r="B207" i="4"/>
  <c r="A207" i="4"/>
  <c r="K206" i="4"/>
  <c r="J206" i="4"/>
  <c r="I206" i="4"/>
  <c r="H206" i="4"/>
  <c r="G206" i="4"/>
  <c r="F206" i="4"/>
  <c r="E206" i="4"/>
  <c r="D206" i="4"/>
  <c r="C206" i="4"/>
  <c r="B206" i="4"/>
  <c r="A206" i="4"/>
  <c r="K205" i="4"/>
  <c r="J205" i="4"/>
  <c r="I205" i="4"/>
  <c r="H205" i="4"/>
  <c r="G205" i="4"/>
  <c r="F205" i="4"/>
  <c r="E205" i="4"/>
  <c r="D205" i="4"/>
  <c r="C205" i="4"/>
  <c r="B205" i="4"/>
  <c r="A205" i="4"/>
  <c r="K204" i="4"/>
  <c r="J204" i="4"/>
  <c r="I204" i="4"/>
  <c r="H204" i="4"/>
  <c r="G204" i="4"/>
  <c r="F204" i="4"/>
  <c r="E204" i="4"/>
  <c r="D204" i="4"/>
  <c r="C204" i="4"/>
  <c r="B204" i="4"/>
  <c r="A204" i="4"/>
  <c r="K203" i="4"/>
  <c r="J203" i="4"/>
  <c r="I203" i="4"/>
  <c r="H203" i="4"/>
  <c r="G203" i="4"/>
  <c r="F203" i="4"/>
  <c r="E203" i="4"/>
  <c r="D203" i="4"/>
  <c r="C203" i="4"/>
  <c r="B203" i="4"/>
  <c r="A203" i="4"/>
  <c r="K202" i="4"/>
  <c r="J202" i="4"/>
  <c r="I202" i="4"/>
  <c r="H202" i="4"/>
  <c r="G202" i="4"/>
  <c r="F202" i="4"/>
  <c r="E202" i="4"/>
  <c r="D202" i="4"/>
  <c r="C202" i="4"/>
  <c r="B202" i="4"/>
  <c r="A202" i="4"/>
  <c r="K201" i="4"/>
  <c r="J201" i="4"/>
  <c r="I201" i="4"/>
  <c r="H201" i="4"/>
  <c r="G201" i="4"/>
  <c r="F201" i="4"/>
  <c r="E201" i="4"/>
  <c r="D201" i="4"/>
  <c r="C201" i="4"/>
  <c r="B201" i="4"/>
  <c r="A201" i="4"/>
  <c r="K200" i="4"/>
  <c r="J200" i="4"/>
  <c r="I200" i="4"/>
  <c r="H200" i="4"/>
  <c r="G200" i="4"/>
  <c r="F200" i="4"/>
  <c r="E200" i="4"/>
  <c r="D200" i="4"/>
  <c r="C200" i="4"/>
  <c r="B200" i="4"/>
  <c r="A200" i="4"/>
  <c r="K199" i="4"/>
  <c r="J199" i="4"/>
  <c r="I199" i="4"/>
  <c r="H199" i="4"/>
  <c r="G199" i="4"/>
  <c r="F199" i="4"/>
  <c r="E199" i="4"/>
  <c r="D199" i="4"/>
  <c r="C199" i="4"/>
  <c r="B199" i="4"/>
  <c r="A199" i="4"/>
  <c r="K198" i="4"/>
  <c r="J198" i="4"/>
  <c r="I198" i="4"/>
  <c r="H198" i="4"/>
  <c r="G198" i="4"/>
  <c r="F198" i="4"/>
  <c r="E198" i="4"/>
  <c r="D198" i="4"/>
  <c r="C198" i="4"/>
  <c r="B198" i="4"/>
  <c r="A198" i="4"/>
  <c r="K197" i="4"/>
  <c r="J197" i="4"/>
  <c r="I197" i="4"/>
  <c r="H197" i="4"/>
  <c r="G197" i="4"/>
  <c r="F197" i="4"/>
  <c r="E197" i="4"/>
  <c r="D197" i="4"/>
  <c r="C197" i="4"/>
  <c r="B197" i="4"/>
  <c r="A197" i="4"/>
  <c r="K196" i="4"/>
  <c r="J196" i="4"/>
  <c r="I196" i="4"/>
  <c r="H196" i="4"/>
  <c r="G196" i="4"/>
  <c r="F196" i="4"/>
  <c r="E196" i="4"/>
  <c r="D196" i="4"/>
  <c r="C196" i="4"/>
  <c r="B196" i="4"/>
  <c r="A196" i="4"/>
  <c r="K195" i="4"/>
  <c r="J195" i="4"/>
  <c r="I195" i="4"/>
  <c r="H195" i="4"/>
  <c r="G195" i="4"/>
  <c r="F195" i="4"/>
  <c r="E195" i="4"/>
  <c r="D195" i="4"/>
  <c r="C195" i="4"/>
  <c r="B195" i="4"/>
  <c r="A195" i="4"/>
  <c r="K194" i="4"/>
  <c r="J194" i="4"/>
  <c r="I194" i="4"/>
  <c r="H194" i="4"/>
  <c r="G194" i="4"/>
  <c r="F194" i="4"/>
  <c r="E194" i="4"/>
  <c r="D194" i="4"/>
  <c r="C194" i="4"/>
  <c r="B194" i="4"/>
  <c r="A194" i="4"/>
  <c r="K193" i="4"/>
  <c r="J193" i="4"/>
  <c r="I193" i="4"/>
  <c r="H193" i="4"/>
  <c r="G193" i="4"/>
  <c r="F193" i="4"/>
  <c r="E193" i="4"/>
  <c r="D193" i="4"/>
  <c r="C193" i="4"/>
  <c r="B193" i="4"/>
  <c r="A193" i="4"/>
  <c r="K192" i="4"/>
  <c r="J192" i="4"/>
  <c r="I192" i="4"/>
  <c r="H192" i="4"/>
  <c r="G192" i="4"/>
  <c r="F192" i="4"/>
  <c r="E192" i="4"/>
  <c r="D192" i="4"/>
  <c r="C192" i="4"/>
  <c r="B192" i="4"/>
  <c r="A192" i="4"/>
  <c r="K191" i="4"/>
  <c r="J191" i="4"/>
  <c r="I191" i="4"/>
  <c r="H191" i="4"/>
  <c r="G191" i="4"/>
  <c r="F191" i="4"/>
  <c r="E191" i="4"/>
  <c r="D191" i="4"/>
  <c r="C191" i="4"/>
  <c r="B191" i="4"/>
  <c r="A191" i="4"/>
  <c r="K190" i="4"/>
  <c r="J190" i="4"/>
  <c r="I190" i="4"/>
  <c r="H190" i="4"/>
  <c r="G190" i="4"/>
  <c r="F190" i="4"/>
  <c r="E190" i="4"/>
  <c r="D190" i="4"/>
  <c r="C190" i="4"/>
  <c r="B190" i="4"/>
  <c r="A190" i="4"/>
  <c r="K189" i="4"/>
  <c r="J189" i="4"/>
  <c r="I189" i="4"/>
  <c r="H189" i="4"/>
  <c r="G189" i="4"/>
  <c r="F189" i="4"/>
  <c r="E189" i="4"/>
  <c r="D189" i="4"/>
  <c r="C189" i="4"/>
  <c r="B189" i="4"/>
  <c r="A189" i="4"/>
  <c r="K188" i="4"/>
  <c r="J188" i="4"/>
  <c r="I188" i="4"/>
  <c r="H188" i="4"/>
  <c r="G188" i="4"/>
  <c r="F188" i="4"/>
  <c r="E188" i="4"/>
  <c r="D188" i="4"/>
  <c r="C188" i="4"/>
  <c r="B188" i="4"/>
  <c r="A188" i="4"/>
  <c r="K187" i="4"/>
  <c r="J187" i="4"/>
  <c r="I187" i="4"/>
  <c r="H187" i="4"/>
  <c r="G187" i="4"/>
  <c r="F187" i="4"/>
  <c r="E187" i="4"/>
  <c r="D187" i="4"/>
  <c r="C187" i="4"/>
  <c r="B187" i="4"/>
  <c r="A187" i="4"/>
  <c r="K186" i="4"/>
  <c r="J186" i="4"/>
  <c r="I186" i="4"/>
  <c r="H186" i="4"/>
  <c r="G186" i="4"/>
  <c r="F186" i="4"/>
  <c r="E186" i="4"/>
  <c r="D186" i="4"/>
  <c r="C186" i="4"/>
  <c r="B186" i="4"/>
  <c r="A186" i="4"/>
  <c r="K185" i="4"/>
  <c r="J185" i="4"/>
  <c r="I185" i="4"/>
  <c r="H185" i="4"/>
  <c r="G185" i="4"/>
  <c r="F185" i="4"/>
  <c r="E185" i="4"/>
  <c r="D185" i="4"/>
  <c r="C185" i="4"/>
  <c r="B185" i="4"/>
  <c r="A185" i="4"/>
  <c r="K184" i="4"/>
  <c r="J184" i="4"/>
  <c r="I184" i="4"/>
  <c r="H184" i="4"/>
  <c r="G184" i="4"/>
  <c r="F184" i="4"/>
  <c r="E184" i="4"/>
  <c r="D184" i="4"/>
  <c r="C184" i="4"/>
  <c r="B184" i="4"/>
  <c r="A184" i="4"/>
  <c r="K183" i="4"/>
  <c r="J183" i="4"/>
  <c r="I183" i="4"/>
  <c r="H183" i="4"/>
  <c r="G183" i="4"/>
  <c r="F183" i="4"/>
  <c r="E183" i="4"/>
  <c r="D183" i="4"/>
  <c r="C183" i="4"/>
  <c r="B183" i="4"/>
  <c r="A183" i="4"/>
  <c r="K182" i="4"/>
  <c r="J182" i="4"/>
  <c r="I182" i="4"/>
  <c r="H182" i="4"/>
  <c r="G182" i="4"/>
  <c r="F182" i="4"/>
  <c r="E182" i="4"/>
  <c r="D182" i="4"/>
  <c r="C182" i="4"/>
  <c r="B182" i="4"/>
  <c r="A182" i="4"/>
  <c r="K181" i="4"/>
  <c r="J181" i="4"/>
  <c r="I181" i="4"/>
  <c r="H181" i="4"/>
  <c r="G181" i="4"/>
  <c r="F181" i="4"/>
  <c r="E181" i="4"/>
  <c r="D181" i="4"/>
  <c r="C181" i="4"/>
  <c r="B181" i="4"/>
  <c r="A181" i="4"/>
  <c r="K180" i="4"/>
  <c r="J180" i="4"/>
  <c r="H180" i="4"/>
  <c r="G180" i="4"/>
  <c r="F180" i="4"/>
  <c r="E180" i="4"/>
  <c r="D180" i="4"/>
  <c r="C180" i="4"/>
  <c r="B180" i="4"/>
  <c r="A180" i="4"/>
  <c r="K179" i="4"/>
  <c r="J179" i="4"/>
  <c r="I179" i="4"/>
  <c r="H179" i="4"/>
  <c r="G179" i="4"/>
  <c r="F179" i="4"/>
  <c r="E179" i="4"/>
  <c r="D179" i="4"/>
  <c r="C179" i="4"/>
  <c r="B179" i="4"/>
  <c r="A179" i="4"/>
  <c r="K178" i="4"/>
  <c r="J178" i="4"/>
  <c r="I178" i="4"/>
  <c r="H178" i="4"/>
  <c r="G178" i="4"/>
  <c r="F178" i="4"/>
  <c r="E178" i="4"/>
  <c r="D178" i="4"/>
  <c r="C178" i="4"/>
  <c r="B178" i="4"/>
  <c r="A178" i="4"/>
  <c r="K177" i="4"/>
  <c r="J177" i="4"/>
  <c r="H177" i="4"/>
  <c r="G177" i="4"/>
  <c r="F177" i="4"/>
  <c r="E177" i="4"/>
  <c r="D177" i="4"/>
  <c r="C177" i="4"/>
  <c r="B177" i="4"/>
  <c r="A177" i="4"/>
  <c r="K176" i="4"/>
  <c r="J176" i="4"/>
  <c r="I176" i="4"/>
  <c r="H176" i="4"/>
  <c r="G176" i="4"/>
  <c r="F176" i="4"/>
  <c r="E176" i="4"/>
  <c r="D176" i="4"/>
  <c r="C176" i="4"/>
  <c r="B176" i="4"/>
  <c r="A176" i="4"/>
  <c r="K175" i="4"/>
  <c r="J175" i="4"/>
  <c r="H175" i="4"/>
  <c r="G175" i="4"/>
  <c r="F175" i="4"/>
  <c r="E175" i="4"/>
  <c r="D175" i="4"/>
  <c r="C175" i="4"/>
  <c r="B175" i="4"/>
  <c r="A175" i="4"/>
  <c r="J174" i="4"/>
  <c r="H174" i="4"/>
  <c r="G174" i="4"/>
  <c r="F174" i="4"/>
  <c r="E174" i="4"/>
  <c r="D174" i="4"/>
  <c r="C174" i="4"/>
  <c r="B174" i="4"/>
  <c r="A174" i="4"/>
  <c r="K173" i="4"/>
  <c r="J173" i="4"/>
  <c r="I173" i="4"/>
  <c r="H173" i="4"/>
  <c r="G173" i="4"/>
  <c r="F173" i="4"/>
  <c r="E173" i="4"/>
  <c r="D173" i="4"/>
  <c r="C173" i="4"/>
  <c r="B173" i="4"/>
  <c r="A173" i="4"/>
  <c r="K172" i="4"/>
  <c r="J172" i="4"/>
  <c r="I172" i="4"/>
  <c r="H172" i="4"/>
  <c r="G172" i="4"/>
  <c r="F172" i="4"/>
  <c r="E172" i="4"/>
  <c r="D172" i="4"/>
  <c r="C172" i="4"/>
  <c r="B172" i="4"/>
  <c r="A172" i="4"/>
  <c r="K171" i="4"/>
  <c r="J171" i="4"/>
  <c r="I171" i="4"/>
  <c r="H171" i="4"/>
  <c r="G171" i="4"/>
  <c r="F171" i="4"/>
  <c r="E171" i="4"/>
  <c r="D171" i="4"/>
  <c r="C171" i="4"/>
  <c r="B171" i="4"/>
  <c r="A171" i="4"/>
  <c r="K170" i="4"/>
  <c r="J170" i="4"/>
  <c r="I170" i="4"/>
  <c r="H170" i="4"/>
  <c r="G170" i="4"/>
  <c r="F170" i="4"/>
  <c r="E170" i="4"/>
  <c r="D170" i="4"/>
  <c r="C170" i="4"/>
  <c r="B170" i="4"/>
  <c r="A170" i="4"/>
  <c r="K169" i="4"/>
  <c r="J169" i="4"/>
  <c r="I169" i="4"/>
  <c r="H169" i="4"/>
  <c r="G169" i="4"/>
  <c r="F169" i="4"/>
  <c r="E169" i="4"/>
  <c r="D169" i="4"/>
  <c r="C169" i="4"/>
  <c r="B169" i="4"/>
  <c r="A169" i="4"/>
  <c r="K168" i="4"/>
  <c r="J168" i="4"/>
  <c r="I168" i="4"/>
  <c r="H168" i="4"/>
  <c r="G168" i="4"/>
  <c r="F168" i="4"/>
  <c r="E168" i="4"/>
  <c r="D168" i="4"/>
  <c r="C168" i="4"/>
  <c r="B168" i="4"/>
  <c r="A168" i="4"/>
  <c r="K167" i="4"/>
  <c r="J167" i="4"/>
  <c r="I167" i="4"/>
  <c r="H167" i="4"/>
  <c r="G167" i="4"/>
  <c r="F167" i="4"/>
  <c r="E167" i="4"/>
  <c r="D167" i="4"/>
  <c r="C167" i="4"/>
  <c r="B167" i="4"/>
  <c r="A167" i="4"/>
  <c r="K166" i="4"/>
  <c r="J166" i="4"/>
  <c r="I166" i="4"/>
  <c r="H166" i="4"/>
  <c r="G166" i="4"/>
  <c r="F166" i="4"/>
  <c r="E166" i="4"/>
  <c r="D166" i="4"/>
  <c r="C166" i="4"/>
  <c r="B166" i="4"/>
  <c r="A166" i="4"/>
  <c r="K165" i="4"/>
  <c r="J165" i="4"/>
  <c r="I165" i="4"/>
  <c r="H165" i="4"/>
  <c r="G165" i="4"/>
  <c r="F165" i="4"/>
  <c r="E165" i="4"/>
  <c r="D165" i="4"/>
  <c r="C165" i="4"/>
  <c r="B165" i="4"/>
  <c r="A165" i="4"/>
  <c r="K164" i="4"/>
  <c r="J164" i="4"/>
  <c r="I164" i="4"/>
  <c r="H164" i="4"/>
  <c r="G164" i="4"/>
  <c r="F164" i="4"/>
  <c r="E164" i="4"/>
  <c r="D164" i="4"/>
  <c r="C164" i="4"/>
  <c r="B164" i="4"/>
  <c r="A164" i="4"/>
  <c r="K163" i="4"/>
  <c r="J163" i="4"/>
  <c r="I163" i="4"/>
  <c r="H163" i="4"/>
  <c r="G163" i="4"/>
  <c r="F163" i="4"/>
  <c r="E163" i="4"/>
  <c r="D163" i="4"/>
  <c r="C163" i="4"/>
  <c r="B163" i="4"/>
  <c r="A163" i="4"/>
  <c r="K162" i="4"/>
  <c r="J162" i="4"/>
  <c r="I162" i="4"/>
  <c r="H162" i="4"/>
  <c r="G162" i="4"/>
  <c r="F162" i="4"/>
  <c r="E162" i="4"/>
  <c r="D162" i="4"/>
  <c r="C162" i="4"/>
  <c r="B162" i="4"/>
  <c r="A162" i="4"/>
  <c r="K161" i="4"/>
  <c r="J161" i="4"/>
  <c r="I161" i="4"/>
  <c r="H161" i="4"/>
  <c r="G161" i="4"/>
  <c r="F161" i="4"/>
  <c r="E161" i="4"/>
  <c r="D161" i="4"/>
  <c r="C161" i="4"/>
  <c r="B161" i="4"/>
  <c r="A161" i="4"/>
  <c r="K160" i="4"/>
  <c r="J160" i="4"/>
  <c r="I160" i="4"/>
  <c r="H160" i="4"/>
  <c r="G160" i="4"/>
  <c r="F160" i="4"/>
  <c r="E160" i="4"/>
  <c r="D160" i="4"/>
  <c r="C160" i="4"/>
  <c r="B160" i="4"/>
  <c r="A160" i="4"/>
  <c r="K159" i="4"/>
  <c r="J159" i="4"/>
  <c r="I159" i="4"/>
  <c r="H159" i="4"/>
  <c r="G159" i="4"/>
  <c r="F159" i="4"/>
  <c r="E159" i="4"/>
  <c r="D159" i="4"/>
  <c r="C159" i="4"/>
  <c r="B159" i="4"/>
  <c r="A159" i="4"/>
  <c r="K158" i="4"/>
  <c r="J158" i="4"/>
  <c r="I158" i="4"/>
  <c r="H158" i="4"/>
  <c r="G158" i="4"/>
  <c r="F158" i="4"/>
  <c r="E158" i="4"/>
  <c r="D158" i="4"/>
  <c r="C158" i="4"/>
  <c r="B158" i="4"/>
  <c r="A158" i="4"/>
  <c r="K157" i="4"/>
  <c r="J157" i="4"/>
  <c r="I157" i="4"/>
  <c r="H157" i="4"/>
  <c r="G157" i="4"/>
  <c r="F157" i="4"/>
  <c r="E157" i="4"/>
  <c r="D157" i="4"/>
  <c r="C157" i="4"/>
  <c r="B157" i="4"/>
  <c r="A157" i="4"/>
  <c r="K156" i="4"/>
  <c r="J156" i="4"/>
  <c r="H156" i="4"/>
  <c r="G156" i="4"/>
  <c r="F156" i="4"/>
  <c r="E156" i="4"/>
  <c r="D156" i="4"/>
  <c r="C156" i="4"/>
  <c r="B156" i="4"/>
  <c r="A156" i="4"/>
  <c r="K155" i="4"/>
  <c r="J155" i="4"/>
  <c r="I155" i="4"/>
  <c r="H155" i="4"/>
  <c r="G155" i="4"/>
  <c r="F155" i="4"/>
  <c r="E155" i="4"/>
  <c r="D155" i="4"/>
  <c r="C155" i="4"/>
  <c r="B155" i="4"/>
  <c r="A155" i="4"/>
  <c r="K154" i="4"/>
  <c r="J154" i="4"/>
  <c r="I154" i="4"/>
  <c r="H154" i="4"/>
  <c r="G154" i="4"/>
  <c r="F154" i="4"/>
  <c r="E154" i="4"/>
  <c r="D154" i="4"/>
  <c r="C154" i="4"/>
  <c r="B154" i="4"/>
  <c r="A154" i="4"/>
  <c r="K153" i="4"/>
  <c r="J153" i="4"/>
  <c r="I153" i="4"/>
  <c r="H153" i="4"/>
  <c r="G153" i="4"/>
  <c r="F153" i="4"/>
  <c r="E153" i="4"/>
  <c r="D153" i="4"/>
  <c r="C153" i="4"/>
  <c r="B153" i="4"/>
  <c r="A153" i="4"/>
  <c r="K152" i="4"/>
  <c r="J152" i="4"/>
  <c r="I152" i="4"/>
  <c r="H152" i="4"/>
  <c r="G152" i="4"/>
  <c r="F152" i="4"/>
  <c r="E152" i="4"/>
  <c r="D152" i="4"/>
  <c r="C152" i="4"/>
  <c r="B152" i="4"/>
  <c r="A152" i="4"/>
  <c r="K151" i="4"/>
  <c r="J151" i="4"/>
  <c r="I151" i="4"/>
  <c r="H151" i="4"/>
  <c r="G151" i="4"/>
  <c r="F151" i="4"/>
  <c r="E151" i="4"/>
  <c r="D151" i="4"/>
  <c r="C151" i="4"/>
  <c r="B151" i="4"/>
  <c r="A151" i="4"/>
  <c r="K150" i="4"/>
  <c r="J150" i="4"/>
  <c r="I150" i="4"/>
  <c r="H150" i="4"/>
  <c r="G150" i="4"/>
  <c r="F150" i="4"/>
  <c r="E150" i="4"/>
  <c r="D150" i="4"/>
  <c r="C150" i="4"/>
  <c r="B150" i="4"/>
  <c r="A150" i="4"/>
  <c r="K149" i="4"/>
  <c r="J149" i="4"/>
  <c r="I149" i="4"/>
  <c r="H149" i="4"/>
  <c r="G149" i="4"/>
  <c r="F149" i="4"/>
  <c r="E149" i="4"/>
  <c r="D149" i="4"/>
  <c r="C149" i="4"/>
  <c r="B149" i="4"/>
  <c r="A149" i="4"/>
  <c r="K148" i="4"/>
  <c r="J148" i="4"/>
  <c r="I148" i="4"/>
  <c r="H148" i="4"/>
  <c r="G148" i="4"/>
  <c r="F148" i="4"/>
  <c r="E148" i="4"/>
  <c r="D148" i="4"/>
  <c r="C148" i="4"/>
  <c r="B148" i="4"/>
  <c r="A148" i="4"/>
  <c r="K147" i="4"/>
  <c r="J147" i="4"/>
  <c r="I147" i="4"/>
  <c r="H147" i="4"/>
  <c r="G147" i="4"/>
  <c r="F147" i="4"/>
  <c r="E147" i="4"/>
  <c r="D147" i="4"/>
  <c r="C147" i="4"/>
  <c r="B147" i="4"/>
  <c r="A147" i="4"/>
  <c r="K146" i="4"/>
  <c r="J146" i="4"/>
  <c r="I146" i="4"/>
  <c r="H146" i="4"/>
  <c r="G146" i="4"/>
  <c r="F146" i="4"/>
  <c r="E146" i="4"/>
  <c r="D146" i="4"/>
  <c r="C146" i="4"/>
  <c r="B146" i="4"/>
  <c r="A146" i="4"/>
  <c r="K145" i="4"/>
  <c r="J145" i="4"/>
  <c r="H145" i="4"/>
  <c r="G145" i="4"/>
  <c r="F145" i="4"/>
  <c r="E145" i="4"/>
  <c r="D145" i="4"/>
  <c r="C145" i="4"/>
  <c r="B145" i="4"/>
  <c r="A145" i="4"/>
  <c r="K144" i="4"/>
  <c r="J144" i="4"/>
  <c r="I144" i="4"/>
  <c r="H144" i="4"/>
  <c r="G144" i="4"/>
  <c r="F144" i="4"/>
  <c r="E144" i="4"/>
  <c r="D144" i="4"/>
  <c r="C144" i="4"/>
  <c r="B144" i="4"/>
  <c r="A144" i="4"/>
  <c r="K143" i="4"/>
  <c r="J143" i="4"/>
  <c r="I143" i="4"/>
  <c r="H143" i="4"/>
  <c r="G143" i="4"/>
  <c r="F143" i="4"/>
  <c r="E143" i="4"/>
  <c r="D143" i="4"/>
  <c r="C143" i="4"/>
  <c r="B143" i="4"/>
  <c r="A143" i="4"/>
  <c r="K142" i="4"/>
  <c r="J142" i="4"/>
  <c r="I142" i="4"/>
  <c r="H142" i="4"/>
  <c r="G142" i="4"/>
  <c r="F142" i="4"/>
  <c r="E142" i="4"/>
  <c r="D142" i="4"/>
  <c r="C142" i="4"/>
  <c r="B142" i="4"/>
  <c r="A142" i="4"/>
  <c r="K141" i="4"/>
  <c r="J141" i="4"/>
  <c r="H141" i="4"/>
  <c r="G141" i="4"/>
  <c r="F141" i="4"/>
  <c r="E141" i="4"/>
  <c r="D141" i="4"/>
  <c r="C141" i="4"/>
  <c r="B141" i="4"/>
  <c r="A141" i="4"/>
  <c r="J140" i="4"/>
  <c r="I140" i="4"/>
  <c r="H140" i="4"/>
  <c r="G140" i="4"/>
  <c r="F140" i="4"/>
  <c r="E140" i="4"/>
  <c r="D140" i="4"/>
  <c r="C140" i="4"/>
  <c r="B140" i="4"/>
  <c r="A140" i="4"/>
  <c r="K139" i="4"/>
  <c r="J139" i="4"/>
  <c r="I139" i="4"/>
  <c r="H139" i="4"/>
  <c r="G139" i="4"/>
  <c r="F139" i="4"/>
  <c r="E139" i="4"/>
  <c r="D139" i="4"/>
  <c r="C139" i="4"/>
  <c r="B139" i="4"/>
  <c r="A139" i="4"/>
  <c r="K138" i="4"/>
  <c r="J138" i="4"/>
  <c r="I138" i="4"/>
  <c r="H138" i="4"/>
  <c r="G138" i="4"/>
  <c r="F138" i="4"/>
  <c r="E138" i="4"/>
  <c r="D138" i="4"/>
  <c r="C138" i="4"/>
  <c r="B138" i="4"/>
  <c r="A138" i="4"/>
  <c r="K137" i="4"/>
  <c r="J137" i="4"/>
  <c r="I137" i="4"/>
  <c r="H137" i="4"/>
  <c r="G137" i="4"/>
  <c r="F137" i="4"/>
  <c r="E137" i="4"/>
  <c r="D137" i="4"/>
  <c r="C137" i="4"/>
  <c r="B137" i="4"/>
  <c r="A137" i="4"/>
  <c r="K136" i="4"/>
  <c r="J136" i="4"/>
  <c r="I136" i="4"/>
  <c r="H136" i="4"/>
  <c r="G136" i="4"/>
  <c r="F136" i="4"/>
  <c r="E136" i="4"/>
  <c r="D136" i="4"/>
  <c r="C136" i="4"/>
  <c r="B136" i="4"/>
  <c r="A136" i="4"/>
  <c r="K135" i="4"/>
  <c r="J135" i="4"/>
  <c r="I135" i="4"/>
  <c r="H135" i="4"/>
  <c r="G135" i="4"/>
  <c r="F135" i="4"/>
  <c r="E135" i="4"/>
  <c r="D135" i="4"/>
  <c r="C135" i="4"/>
  <c r="B135" i="4"/>
  <c r="A135" i="4"/>
  <c r="J134" i="4"/>
  <c r="I134" i="4"/>
  <c r="H134" i="4"/>
  <c r="G134" i="4"/>
  <c r="F134" i="4"/>
  <c r="E134" i="4"/>
  <c r="D134" i="4"/>
  <c r="C134" i="4"/>
  <c r="B134" i="4"/>
  <c r="A134" i="4"/>
  <c r="K133" i="4"/>
  <c r="J133" i="4"/>
  <c r="I133" i="4"/>
  <c r="H133" i="4"/>
  <c r="G133" i="4"/>
  <c r="F133" i="4"/>
  <c r="E133" i="4"/>
  <c r="D133" i="4"/>
  <c r="C133" i="4"/>
  <c r="B133" i="4"/>
  <c r="A133" i="4"/>
  <c r="K132" i="4"/>
  <c r="J132" i="4"/>
  <c r="I132" i="4"/>
  <c r="H132" i="4"/>
  <c r="G132" i="4"/>
  <c r="F132" i="4"/>
  <c r="E132" i="4"/>
  <c r="D132" i="4"/>
  <c r="C132" i="4"/>
  <c r="B132" i="4"/>
  <c r="A132" i="4"/>
  <c r="K131" i="4"/>
  <c r="J131" i="4"/>
  <c r="I131" i="4"/>
  <c r="H131" i="4"/>
  <c r="G131" i="4"/>
  <c r="F131" i="4"/>
  <c r="E131" i="4"/>
  <c r="D131" i="4"/>
  <c r="C131" i="4"/>
  <c r="B131" i="4"/>
  <c r="A131" i="4"/>
  <c r="K130" i="4"/>
  <c r="J130" i="4"/>
  <c r="I130" i="4"/>
  <c r="H130" i="4"/>
  <c r="G130" i="4"/>
  <c r="F130" i="4"/>
  <c r="E130" i="4"/>
  <c r="D130" i="4"/>
  <c r="C130" i="4"/>
  <c r="B130" i="4"/>
  <c r="A130" i="4"/>
  <c r="K129" i="4"/>
  <c r="J129" i="4"/>
  <c r="I129" i="4"/>
  <c r="H129" i="4"/>
  <c r="G129" i="4"/>
  <c r="F129" i="4"/>
  <c r="E129" i="4"/>
  <c r="D129" i="4"/>
  <c r="C129" i="4"/>
  <c r="B129" i="4"/>
  <c r="A129" i="4"/>
  <c r="K128" i="4"/>
  <c r="J128" i="4"/>
  <c r="I128" i="4"/>
  <c r="H128" i="4"/>
  <c r="G128" i="4"/>
  <c r="F128" i="4"/>
  <c r="E128" i="4"/>
  <c r="D128" i="4"/>
  <c r="C128" i="4"/>
  <c r="B128" i="4"/>
  <c r="A128" i="4"/>
  <c r="K127" i="4"/>
  <c r="J127" i="4"/>
  <c r="I127" i="4"/>
  <c r="H127" i="4"/>
  <c r="G127" i="4"/>
  <c r="F127" i="4"/>
  <c r="E127" i="4"/>
  <c r="D127" i="4"/>
  <c r="C127" i="4"/>
  <c r="B127" i="4"/>
  <c r="A127" i="4"/>
  <c r="K126" i="4"/>
  <c r="J126" i="4"/>
  <c r="I126" i="4"/>
  <c r="H126" i="4"/>
  <c r="G126" i="4"/>
  <c r="F126" i="4"/>
  <c r="E126" i="4"/>
  <c r="D126" i="4"/>
  <c r="C126" i="4"/>
  <c r="B126" i="4"/>
  <c r="A126" i="4"/>
  <c r="J125" i="4"/>
  <c r="I125" i="4"/>
  <c r="H125" i="4"/>
  <c r="G125" i="4"/>
  <c r="F125" i="4"/>
  <c r="E125" i="4"/>
  <c r="D125" i="4"/>
  <c r="C125" i="4"/>
  <c r="B125" i="4"/>
  <c r="A125" i="4"/>
  <c r="J124" i="4"/>
  <c r="I124" i="4"/>
  <c r="H124" i="4"/>
  <c r="G124" i="4"/>
  <c r="F124" i="4"/>
  <c r="E124" i="4"/>
  <c r="D124" i="4"/>
  <c r="C124" i="4"/>
  <c r="B124" i="4"/>
  <c r="A124" i="4"/>
  <c r="K123" i="4"/>
  <c r="J123" i="4"/>
  <c r="I123" i="4"/>
  <c r="H123" i="4"/>
  <c r="G123" i="4"/>
  <c r="F123" i="4"/>
  <c r="E123" i="4"/>
  <c r="D123" i="4"/>
  <c r="C123" i="4"/>
  <c r="B123" i="4"/>
  <c r="A123" i="4"/>
  <c r="J122" i="4"/>
  <c r="I122" i="4"/>
  <c r="H122" i="4"/>
  <c r="G122" i="4"/>
  <c r="F122" i="4"/>
  <c r="E122" i="4"/>
  <c r="D122" i="4"/>
  <c r="C122" i="4"/>
  <c r="B122" i="4"/>
  <c r="A122" i="4"/>
  <c r="K121" i="4"/>
  <c r="J121" i="4"/>
  <c r="I121" i="4"/>
  <c r="H121" i="4"/>
  <c r="G121" i="4"/>
  <c r="F121" i="4"/>
  <c r="E121" i="4"/>
  <c r="D121" i="4"/>
  <c r="C121" i="4"/>
  <c r="B121" i="4"/>
  <c r="A121" i="4"/>
  <c r="K120" i="4"/>
  <c r="J120" i="4"/>
  <c r="I120" i="4"/>
  <c r="H120" i="4"/>
  <c r="G120" i="4"/>
  <c r="F120" i="4"/>
  <c r="E120" i="4"/>
  <c r="D120" i="4"/>
  <c r="C120" i="4"/>
  <c r="B120" i="4"/>
  <c r="A120" i="4"/>
  <c r="K119" i="4"/>
  <c r="J119" i="4"/>
  <c r="I119" i="4"/>
  <c r="H119" i="4"/>
  <c r="G119" i="4"/>
  <c r="F119" i="4"/>
  <c r="E119" i="4"/>
  <c r="D119" i="4"/>
  <c r="C119" i="4"/>
  <c r="B119" i="4"/>
  <c r="A119" i="4"/>
  <c r="K118" i="4"/>
  <c r="J118" i="4"/>
  <c r="I118" i="4"/>
  <c r="H118" i="4"/>
  <c r="G118" i="4"/>
  <c r="F118" i="4"/>
  <c r="E118" i="4"/>
  <c r="D118" i="4"/>
  <c r="C118" i="4"/>
  <c r="B118" i="4"/>
  <c r="A118" i="4"/>
  <c r="K117" i="4"/>
  <c r="J117" i="4"/>
  <c r="I117" i="4"/>
  <c r="H117" i="4"/>
  <c r="G117" i="4"/>
  <c r="F117" i="4"/>
  <c r="E117" i="4"/>
  <c r="D117" i="4"/>
  <c r="C117" i="4"/>
  <c r="B117" i="4"/>
  <c r="A117" i="4"/>
  <c r="K116" i="4"/>
  <c r="J116" i="4"/>
  <c r="I116" i="4"/>
  <c r="H116" i="4"/>
  <c r="G116" i="4"/>
  <c r="F116" i="4"/>
  <c r="E116" i="4"/>
  <c r="D116" i="4"/>
  <c r="C116" i="4"/>
  <c r="B116" i="4"/>
  <c r="A116" i="4"/>
  <c r="K115" i="4"/>
  <c r="J115" i="4"/>
  <c r="I115" i="4"/>
  <c r="H115" i="4"/>
  <c r="G115" i="4"/>
  <c r="F115" i="4"/>
  <c r="E115" i="4"/>
  <c r="D115" i="4"/>
  <c r="C115" i="4"/>
  <c r="B115" i="4"/>
  <c r="A115" i="4"/>
  <c r="K114" i="4"/>
  <c r="J114" i="4"/>
  <c r="I114" i="4"/>
  <c r="H114" i="4"/>
  <c r="G114" i="4"/>
  <c r="F114" i="4"/>
  <c r="E114" i="4"/>
  <c r="D114" i="4"/>
  <c r="C114" i="4"/>
  <c r="B114" i="4"/>
  <c r="A114" i="4"/>
  <c r="K113" i="4"/>
  <c r="J113" i="4"/>
  <c r="I113" i="4"/>
  <c r="H113" i="4"/>
  <c r="G113" i="4"/>
  <c r="F113" i="4"/>
  <c r="E113" i="4"/>
  <c r="D113" i="4"/>
  <c r="C113" i="4"/>
  <c r="B113" i="4"/>
  <c r="A113" i="4"/>
  <c r="K112" i="4"/>
  <c r="J112" i="4"/>
  <c r="I112" i="4"/>
  <c r="H112" i="4"/>
  <c r="G112" i="4"/>
  <c r="F112" i="4"/>
  <c r="E112" i="4"/>
  <c r="D112" i="4"/>
  <c r="C112" i="4"/>
  <c r="B112" i="4"/>
  <c r="A112" i="4"/>
  <c r="K111" i="4"/>
  <c r="J111" i="4"/>
  <c r="I111" i="4"/>
  <c r="H111" i="4"/>
  <c r="G111" i="4"/>
  <c r="F111" i="4"/>
  <c r="E111" i="4"/>
  <c r="D111" i="4"/>
  <c r="C111" i="4"/>
  <c r="B111" i="4"/>
  <c r="A111" i="4"/>
  <c r="K110" i="4"/>
  <c r="J110" i="4"/>
  <c r="I110" i="4"/>
  <c r="H110" i="4"/>
  <c r="G110" i="4"/>
  <c r="F110" i="4"/>
  <c r="E110" i="4"/>
  <c r="D110" i="4"/>
  <c r="C110" i="4"/>
  <c r="B110" i="4"/>
  <c r="A110" i="4"/>
  <c r="K109" i="4"/>
  <c r="J109" i="4"/>
  <c r="I109" i="4"/>
  <c r="H109" i="4"/>
  <c r="G109" i="4"/>
  <c r="F109" i="4"/>
  <c r="E109" i="4"/>
  <c r="D109" i="4"/>
  <c r="C109" i="4"/>
  <c r="B109" i="4"/>
  <c r="A109" i="4"/>
  <c r="K108" i="4"/>
  <c r="J108" i="4"/>
  <c r="I108" i="4"/>
  <c r="H108" i="4"/>
  <c r="G108" i="4"/>
  <c r="F108" i="4"/>
  <c r="E108" i="4"/>
  <c r="D108" i="4"/>
  <c r="C108" i="4"/>
  <c r="B108" i="4"/>
  <c r="A108" i="4"/>
  <c r="K107" i="4"/>
  <c r="J107" i="4"/>
  <c r="I107" i="4"/>
  <c r="H107" i="4"/>
  <c r="G107" i="4"/>
  <c r="F107" i="4"/>
  <c r="E107" i="4"/>
  <c r="D107" i="4"/>
  <c r="C107" i="4"/>
  <c r="B107" i="4"/>
  <c r="A107" i="4"/>
  <c r="J106" i="4"/>
  <c r="I106" i="4"/>
  <c r="H106" i="4"/>
  <c r="G106" i="4"/>
  <c r="F106" i="4"/>
  <c r="E106" i="4"/>
  <c r="D106" i="4"/>
  <c r="C106" i="4"/>
  <c r="B106" i="4"/>
  <c r="A106" i="4"/>
  <c r="J105" i="4"/>
  <c r="I105" i="4"/>
  <c r="H105" i="4"/>
  <c r="G105" i="4"/>
  <c r="F105" i="4"/>
  <c r="E105" i="4"/>
  <c r="D105" i="4"/>
  <c r="C105" i="4"/>
  <c r="B105" i="4"/>
  <c r="A105" i="4"/>
  <c r="K104" i="4"/>
  <c r="J104" i="4"/>
  <c r="I104" i="4"/>
  <c r="H104" i="4"/>
  <c r="G104" i="4"/>
  <c r="F104" i="4"/>
  <c r="E104" i="4"/>
  <c r="D104" i="4"/>
  <c r="C104" i="4"/>
  <c r="B104" i="4"/>
  <c r="A104" i="4"/>
  <c r="K103" i="4"/>
  <c r="J103" i="4"/>
  <c r="I103" i="4"/>
  <c r="H103" i="4"/>
  <c r="G103" i="4"/>
  <c r="F103" i="4"/>
  <c r="E103" i="4"/>
  <c r="D103" i="4"/>
  <c r="C103" i="4"/>
  <c r="B103" i="4"/>
  <c r="A103" i="4"/>
  <c r="K102" i="4"/>
  <c r="J102" i="4"/>
  <c r="I102" i="4"/>
  <c r="H102" i="4"/>
  <c r="G102" i="4"/>
  <c r="F102" i="4"/>
  <c r="E102" i="4"/>
  <c r="D102" i="4"/>
  <c r="C102" i="4"/>
  <c r="B102" i="4"/>
  <c r="A102" i="4"/>
  <c r="K101" i="4"/>
  <c r="J101" i="4"/>
  <c r="I101" i="4"/>
  <c r="H101" i="4"/>
  <c r="G101" i="4"/>
  <c r="F101" i="4"/>
  <c r="E101" i="4"/>
  <c r="D101" i="4"/>
  <c r="C101" i="4"/>
  <c r="B101" i="4"/>
  <c r="A101" i="4"/>
  <c r="K100" i="4"/>
  <c r="J100" i="4"/>
  <c r="I100" i="4"/>
  <c r="H100" i="4"/>
  <c r="G100" i="4"/>
  <c r="F100" i="4"/>
  <c r="E100" i="4"/>
  <c r="D100" i="4"/>
  <c r="C100" i="4"/>
  <c r="B100" i="4"/>
  <c r="A100" i="4"/>
  <c r="K99" i="4"/>
  <c r="J99" i="4"/>
  <c r="I99" i="4"/>
  <c r="H99" i="4"/>
  <c r="G99" i="4"/>
  <c r="F99" i="4"/>
  <c r="E99" i="4"/>
  <c r="D99" i="4"/>
  <c r="C99" i="4"/>
  <c r="B99" i="4"/>
  <c r="A99" i="4"/>
  <c r="K98" i="4"/>
  <c r="J98" i="4"/>
  <c r="I98" i="4"/>
  <c r="H98" i="4"/>
  <c r="G98" i="4"/>
  <c r="F98" i="4"/>
  <c r="E98" i="4"/>
  <c r="D98" i="4"/>
  <c r="C98" i="4"/>
  <c r="B98" i="4"/>
  <c r="A98" i="4"/>
  <c r="J97" i="4"/>
  <c r="I97" i="4"/>
  <c r="H97" i="4"/>
  <c r="G97" i="4"/>
  <c r="F97" i="4"/>
  <c r="E97" i="4"/>
  <c r="D97" i="4"/>
  <c r="C97" i="4"/>
  <c r="B97" i="4"/>
  <c r="A97" i="4"/>
  <c r="K96" i="4"/>
  <c r="J96" i="4"/>
  <c r="I96" i="4"/>
  <c r="H96" i="4"/>
  <c r="G96" i="4"/>
  <c r="F96" i="4"/>
  <c r="E96" i="4"/>
  <c r="D96" i="4"/>
  <c r="C96" i="4"/>
  <c r="B96" i="4"/>
  <c r="A96" i="4"/>
  <c r="K95" i="4"/>
  <c r="J95" i="4"/>
  <c r="I95" i="4"/>
  <c r="H95" i="4"/>
  <c r="G95" i="4"/>
  <c r="F95" i="4"/>
  <c r="E95" i="4"/>
  <c r="D95" i="4"/>
  <c r="C95" i="4"/>
  <c r="B95" i="4"/>
  <c r="A95" i="4"/>
  <c r="K94" i="4"/>
  <c r="J94" i="4"/>
  <c r="I94" i="4"/>
  <c r="H94" i="4"/>
  <c r="G94" i="4"/>
  <c r="F94" i="4"/>
  <c r="E94" i="4"/>
  <c r="D94" i="4"/>
  <c r="C94" i="4"/>
  <c r="B94" i="4"/>
  <c r="A94" i="4"/>
  <c r="K93" i="4"/>
  <c r="J93" i="4"/>
  <c r="I93" i="4"/>
  <c r="H93" i="4"/>
  <c r="G93" i="4"/>
  <c r="F93" i="4"/>
  <c r="E93" i="4"/>
  <c r="D93" i="4"/>
  <c r="C93" i="4"/>
  <c r="B93" i="4"/>
  <c r="A93" i="4"/>
  <c r="K92" i="4"/>
  <c r="J92" i="4"/>
  <c r="I92" i="4"/>
  <c r="H92" i="4"/>
  <c r="G92" i="4"/>
  <c r="F92" i="4"/>
  <c r="E92" i="4"/>
  <c r="D92" i="4"/>
  <c r="C92" i="4"/>
  <c r="B92" i="4"/>
  <c r="A92" i="4"/>
  <c r="K91" i="4"/>
  <c r="J91" i="4"/>
  <c r="I91" i="4"/>
  <c r="H91" i="4"/>
  <c r="G91" i="4"/>
  <c r="F91" i="4"/>
  <c r="E91" i="4"/>
  <c r="D91" i="4"/>
  <c r="C91" i="4"/>
  <c r="B91" i="4"/>
  <c r="A91" i="4"/>
  <c r="K90" i="4"/>
  <c r="J90" i="4"/>
  <c r="I90" i="4"/>
  <c r="H90" i="4"/>
  <c r="G90" i="4"/>
  <c r="F90" i="4"/>
  <c r="E90" i="4"/>
  <c r="D90" i="4"/>
  <c r="C90" i="4"/>
  <c r="B90" i="4"/>
  <c r="A90" i="4"/>
  <c r="K89" i="4"/>
  <c r="J89" i="4"/>
  <c r="I89" i="4"/>
  <c r="H89" i="4"/>
  <c r="G89" i="4"/>
  <c r="F89" i="4"/>
  <c r="E89" i="4"/>
  <c r="D89" i="4"/>
  <c r="C89" i="4"/>
  <c r="B89" i="4"/>
  <c r="A89" i="4"/>
  <c r="K88" i="4"/>
  <c r="J88" i="4"/>
  <c r="I88" i="4"/>
  <c r="H88" i="4"/>
  <c r="G88" i="4"/>
  <c r="F88" i="4"/>
  <c r="E88" i="4"/>
  <c r="D88" i="4"/>
  <c r="C88" i="4"/>
  <c r="B88" i="4"/>
  <c r="A88" i="4"/>
  <c r="K87" i="4"/>
  <c r="J87" i="4"/>
  <c r="I87" i="4"/>
  <c r="H87" i="4"/>
  <c r="G87" i="4"/>
  <c r="F87" i="4"/>
  <c r="E87" i="4"/>
  <c r="D87" i="4"/>
  <c r="C87" i="4"/>
  <c r="B87" i="4"/>
  <c r="A87" i="4"/>
  <c r="K86" i="4"/>
  <c r="J86" i="4"/>
  <c r="I86" i="4"/>
  <c r="H86" i="4"/>
  <c r="G86" i="4"/>
  <c r="F86" i="4"/>
  <c r="E86" i="4"/>
  <c r="D86" i="4"/>
  <c r="C86" i="4"/>
  <c r="B86" i="4"/>
  <c r="A86" i="4"/>
  <c r="K85" i="4"/>
  <c r="J85" i="4"/>
  <c r="I85" i="4"/>
  <c r="H85" i="4"/>
  <c r="G85" i="4"/>
  <c r="F85" i="4"/>
  <c r="E85" i="4"/>
  <c r="D85" i="4"/>
  <c r="C85" i="4"/>
  <c r="B85" i="4"/>
  <c r="A85" i="4"/>
  <c r="K84" i="4"/>
  <c r="J84" i="4"/>
  <c r="I84" i="4"/>
  <c r="H84" i="4"/>
  <c r="G84" i="4"/>
  <c r="F84" i="4"/>
  <c r="E84" i="4"/>
  <c r="D84" i="4"/>
  <c r="C84" i="4"/>
  <c r="B84" i="4"/>
  <c r="A84" i="4"/>
  <c r="K83" i="4"/>
  <c r="J83" i="4"/>
  <c r="I83" i="4"/>
  <c r="H83" i="4"/>
  <c r="G83" i="4"/>
  <c r="F83" i="4"/>
  <c r="E83" i="4"/>
  <c r="D83" i="4"/>
  <c r="C83" i="4"/>
  <c r="B83" i="4"/>
  <c r="A83" i="4"/>
  <c r="K82" i="4"/>
  <c r="J82" i="4"/>
  <c r="I82" i="4"/>
  <c r="H82" i="4"/>
  <c r="G82" i="4"/>
  <c r="F82" i="4"/>
  <c r="E82" i="4"/>
  <c r="D82" i="4"/>
  <c r="C82" i="4"/>
  <c r="B82" i="4"/>
  <c r="A82" i="4"/>
  <c r="K81" i="4"/>
  <c r="J81" i="4"/>
  <c r="I81" i="4"/>
  <c r="H81" i="4"/>
  <c r="G81" i="4"/>
  <c r="F81" i="4"/>
  <c r="E81" i="4"/>
  <c r="D81" i="4"/>
  <c r="C81" i="4"/>
  <c r="B81" i="4"/>
  <c r="A81" i="4"/>
  <c r="K80" i="4"/>
  <c r="J80" i="4"/>
  <c r="I80" i="4"/>
  <c r="H80" i="4"/>
  <c r="G80" i="4"/>
  <c r="F80" i="4"/>
  <c r="E80" i="4"/>
  <c r="D80" i="4"/>
  <c r="C80" i="4"/>
  <c r="B80" i="4"/>
  <c r="A80" i="4"/>
  <c r="K79" i="4"/>
  <c r="J79" i="4"/>
  <c r="I79" i="4"/>
  <c r="H79" i="4"/>
  <c r="G79" i="4"/>
  <c r="F79" i="4"/>
  <c r="E79" i="4"/>
  <c r="D79" i="4"/>
  <c r="C79" i="4"/>
  <c r="B79" i="4"/>
  <c r="A79" i="4"/>
  <c r="K78" i="4"/>
  <c r="J78" i="4"/>
  <c r="I78" i="4"/>
  <c r="H78" i="4"/>
  <c r="G78" i="4"/>
  <c r="F78" i="4"/>
  <c r="E78" i="4"/>
  <c r="D78" i="4"/>
  <c r="C78" i="4"/>
  <c r="B78" i="4"/>
  <c r="A78" i="4"/>
  <c r="K77" i="4"/>
  <c r="J77" i="4"/>
  <c r="I77" i="4"/>
  <c r="H77" i="4"/>
  <c r="G77" i="4"/>
  <c r="F77" i="4"/>
  <c r="E77" i="4"/>
  <c r="D77" i="4"/>
  <c r="C77" i="4"/>
  <c r="B77" i="4"/>
  <c r="A77" i="4"/>
  <c r="K76" i="4"/>
  <c r="J76" i="4"/>
  <c r="I76" i="4"/>
  <c r="H76" i="4"/>
  <c r="G76" i="4"/>
  <c r="F76" i="4"/>
  <c r="E76" i="4"/>
  <c r="D76" i="4"/>
  <c r="C76" i="4"/>
  <c r="B76" i="4"/>
  <c r="A76" i="4"/>
  <c r="K75" i="4"/>
  <c r="J75" i="4"/>
  <c r="I75" i="4"/>
  <c r="H75" i="4"/>
  <c r="G75" i="4"/>
  <c r="F75" i="4"/>
  <c r="E75" i="4"/>
  <c r="D75" i="4"/>
  <c r="C75" i="4"/>
  <c r="B75" i="4"/>
  <c r="A75" i="4"/>
  <c r="K74" i="4"/>
  <c r="J74" i="4"/>
  <c r="I74" i="4"/>
  <c r="H74" i="4"/>
  <c r="G74" i="4"/>
  <c r="F74" i="4"/>
  <c r="E74" i="4"/>
  <c r="D74" i="4"/>
  <c r="C74" i="4"/>
  <c r="B74" i="4"/>
  <c r="A74" i="4"/>
  <c r="K73" i="4"/>
  <c r="J73" i="4"/>
  <c r="I73" i="4"/>
  <c r="H73" i="4"/>
  <c r="G73" i="4"/>
  <c r="F73" i="4"/>
  <c r="E73" i="4"/>
  <c r="D73" i="4"/>
  <c r="C73" i="4"/>
  <c r="B73" i="4"/>
  <c r="A73" i="4"/>
  <c r="K72" i="4"/>
  <c r="J72" i="4"/>
  <c r="I72" i="4"/>
  <c r="H72" i="4"/>
  <c r="G72" i="4"/>
  <c r="F72" i="4"/>
  <c r="E72" i="4"/>
  <c r="D72" i="4"/>
  <c r="C72" i="4"/>
  <c r="B72" i="4"/>
  <c r="A72" i="4"/>
  <c r="K71" i="4"/>
  <c r="J71" i="4"/>
  <c r="I71" i="4"/>
  <c r="H71" i="4"/>
  <c r="G71" i="4"/>
  <c r="F71" i="4"/>
  <c r="E71" i="4"/>
  <c r="D71" i="4"/>
  <c r="C71" i="4"/>
  <c r="B71" i="4"/>
  <c r="A71" i="4"/>
  <c r="K70" i="4"/>
  <c r="J70" i="4"/>
  <c r="I70" i="4"/>
  <c r="H70" i="4"/>
  <c r="G70" i="4"/>
  <c r="F70" i="4"/>
  <c r="E70" i="4"/>
  <c r="D70" i="4"/>
  <c r="C70" i="4"/>
  <c r="B70" i="4"/>
  <c r="A70" i="4"/>
  <c r="K69" i="4"/>
  <c r="J69" i="4"/>
  <c r="I69" i="4"/>
  <c r="H69" i="4"/>
  <c r="G69" i="4"/>
  <c r="F69" i="4"/>
  <c r="E69" i="4"/>
  <c r="D69" i="4"/>
  <c r="C69" i="4"/>
  <c r="B69" i="4"/>
  <c r="A69" i="4"/>
  <c r="K68" i="4"/>
  <c r="J68" i="4"/>
  <c r="I68" i="4"/>
  <c r="H68" i="4"/>
  <c r="G68" i="4"/>
  <c r="F68" i="4"/>
  <c r="E68" i="4"/>
  <c r="D68" i="4"/>
  <c r="C68" i="4"/>
  <c r="B68" i="4"/>
  <c r="A68" i="4"/>
  <c r="K67" i="4"/>
  <c r="J67" i="4"/>
  <c r="I67" i="4"/>
  <c r="H67" i="4"/>
  <c r="G67" i="4"/>
  <c r="F67" i="4"/>
  <c r="E67" i="4"/>
  <c r="D67" i="4"/>
  <c r="C67" i="4"/>
  <c r="B67" i="4"/>
  <c r="A67" i="4"/>
  <c r="K66" i="4"/>
  <c r="J66" i="4"/>
  <c r="I66" i="4"/>
  <c r="H66" i="4"/>
  <c r="G66" i="4"/>
  <c r="F66" i="4"/>
  <c r="E66" i="4"/>
  <c r="D66" i="4"/>
  <c r="C66" i="4"/>
  <c r="B66" i="4"/>
  <c r="A66" i="4"/>
  <c r="K65" i="4"/>
  <c r="J65" i="4"/>
  <c r="I65" i="4"/>
  <c r="H65" i="4"/>
  <c r="G65" i="4"/>
  <c r="F65" i="4"/>
  <c r="E65" i="4"/>
  <c r="D65" i="4"/>
  <c r="C65" i="4"/>
  <c r="B65" i="4"/>
  <c r="A65" i="4"/>
  <c r="K64" i="4"/>
  <c r="J64" i="4"/>
  <c r="I64" i="4"/>
  <c r="H64" i="4"/>
  <c r="G64" i="4"/>
  <c r="F64" i="4"/>
  <c r="E64" i="4"/>
  <c r="D64" i="4"/>
  <c r="C64" i="4"/>
  <c r="B64" i="4"/>
  <c r="A64" i="4"/>
  <c r="K63" i="4"/>
  <c r="J63" i="4"/>
  <c r="I63" i="4"/>
  <c r="H63" i="4"/>
  <c r="G63" i="4"/>
  <c r="F63" i="4"/>
  <c r="E63" i="4"/>
  <c r="D63" i="4"/>
  <c r="C63" i="4"/>
  <c r="B63" i="4"/>
  <c r="A63" i="4"/>
  <c r="K62" i="4"/>
  <c r="J62" i="4"/>
  <c r="I62" i="4"/>
  <c r="H62" i="4"/>
  <c r="G62" i="4"/>
  <c r="F62" i="4"/>
  <c r="E62" i="4"/>
  <c r="D62" i="4"/>
  <c r="C62" i="4"/>
  <c r="B62" i="4"/>
  <c r="A62" i="4"/>
  <c r="K61" i="4"/>
  <c r="J61" i="4"/>
  <c r="I61" i="4"/>
  <c r="H61" i="4"/>
  <c r="G61" i="4"/>
  <c r="F61" i="4"/>
  <c r="E61" i="4"/>
  <c r="D61" i="4"/>
  <c r="C61" i="4"/>
  <c r="B61" i="4"/>
  <c r="A61" i="4"/>
  <c r="K60" i="4"/>
  <c r="J60" i="4"/>
  <c r="I60" i="4"/>
  <c r="H60" i="4"/>
  <c r="G60" i="4"/>
  <c r="F60" i="4"/>
  <c r="E60" i="4"/>
  <c r="D60" i="4"/>
  <c r="C60" i="4"/>
  <c r="B60" i="4"/>
  <c r="A60" i="4"/>
  <c r="K59" i="4"/>
  <c r="J59" i="4"/>
  <c r="I59" i="4"/>
  <c r="H59" i="4"/>
  <c r="G59" i="4"/>
  <c r="F59" i="4"/>
  <c r="E59" i="4"/>
  <c r="D59" i="4"/>
  <c r="C59" i="4"/>
  <c r="B59" i="4"/>
  <c r="A59" i="4"/>
  <c r="K58" i="4"/>
  <c r="J58" i="4"/>
  <c r="I58" i="4"/>
  <c r="H58" i="4"/>
  <c r="G58" i="4"/>
  <c r="F58" i="4"/>
  <c r="E58" i="4"/>
  <c r="D58" i="4"/>
  <c r="C58" i="4"/>
  <c r="B58" i="4"/>
  <c r="A58" i="4"/>
  <c r="K57" i="4"/>
  <c r="J57" i="4"/>
  <c r="I57" i="4"/>
  <c r="H57" i="4"/>
  <c r="G57" i="4"/>
  <c r="F57" i="4"/>
  <c r="E57" i="4"/>
  <c r="D57" i="4"/>
  <c r="C57" i="4"/>
  <c r="B57" i="4"/>
  <c r="A57" i="4"/>
  <c r="K56" i="4"/>
  <c r="J56" i="4"/>
  <c r="I56" i="4"/>
  <c r="H56" i="4"/>
  <c r="G56" i="4"/>
  <c r="F56" i="4"/>
  <c r="E56" i="4"/>
  <c r="D56" i="4"/>
  <c r="C56" i="4"/>
  <c r="B56" i="4"/>
  <c r="A56" i="4"/>
  <c r="J55" i="4"/>
  <c r="I55" i="4"/>
  <c r="H55" i="4"/>
  <c r="G55" i="4"/>
  <c r="F55" i="4"/>
  <c r="E55" i="4"/>
  <c r="D55" i="4"/>
  <c r="C55" i="4"/>
  <c r="B55" i="4"/>
  <c r="A55" i="4"/>
  <c r="K54" i="4"/>
  <c r="J54" i="4"/>
  <c r="I54" i="4"/>
  <c r="H54" i="4"/>
  <c r="G54" i="4"/>
  <c r="F54" i="4"/>
  <c r="E54" i="4"/>
  <c r="D54" i="4"/>
  <c r="C54" i="4"/>
  <c r="B54" i="4"/>
  <c r="A54" i="4"/>
  <c r="K53" i="4"/>
  <c r="J53" i="4"/>
  <c r="I53" i="4"/>
  <c r="H53" i="4"/>
  <c r="G53" i="4"/>
  <c r="F53" i="4"/>
  <c r="E53" i="4"/>
  <c r="D53" i="4"/>
  <c r="C53" i="4"/>
  <c r="B53" i="4"/>
  <c r="A53" i="4"/>
  <c r="K52" i="4"/>
  <c r="J52" i="4"/>
  <c r="I52" i="4"/>
  <c r="H52" i="4"/>
  <c r="G52" i="4"/>
  <c r="F52" i="4"/>
  <c r="E52" i="4"/>
  <c r="D52" i="4"/>
  <c r="C52" i="4"/>
  <c r="B52" i="4"/>
  <c r="A52" i="4"/>
  <c r="J51" i="4"/>
  <c r="I51" i="4"/>
  <c r="H51" i="4"/>
  <c r="G51" i="4"/>
  <c r="F51" i="4"/>
  <c r="E51" i="4"/>
  <c r="D51" i="4"/>
  <c r="C51" i="4"/>
  <c r="B51" i="4"/>
  <c r="A51" i="4"/>
  <c r="K50" i="4"/>
  <c r="J50" i="4"/>
  <c r="I50" i="4"/>
  <c r="H50" i="4"/>
  <c r="G50" i="4"/>
  <c r="F50" i="4"/>
  <c r="E50" i="4"/>
  <c r="D50" i="4"/>
  <c r="C50" i="4"/>
  <c r="B50" i="4"/>
  <c r="A50" i="4"/>
  <c r="K49" i="4"/>
  <c r="J49" i="4"/>
  <c r="I49" i="4"/>
  <c r="H49" i="4"/>
  <c r="G49" i="4"/>
  <c r="F49" i="4"/>
  <c r="E49" i="4"/>
  <c r="D49" i="4"/>
  <c r="C49" i="4"/>
  <c r="B49" i="4"/>
  <c r="A49" i="4"/>
  <c r="K48" i="4"/>
  <c r="J48" i="4"/>
  <c r="I48" i="4"/>
  <c r="H48" i="4"/>
  <c r="G48" i="4"/>
  <c r="F48" i="4"/>
  <c r="E48" i="4"/>
  <c r="D48" i="4"/>
  <c r="C48" i="4"/>
  <c r="B48" i="4"/>
  <c r="A48" i="4"/>
  <c r="K47" i="4"/>
  <c r="J47" i="4"/>
  <c r="I47" i="4"/>
  <c r="H47" i="4"/>
  <c r="G47" i="4"/>
  <c r="F47" i="4"/>
  <c r="E47" i="4"/>
  <c r="D47" i="4"/>
  <c r="C47" i="4"/>
  <c r="B47" i="4"/>
  <c r="A47" i="4"/>
  <c r="K46" i="4"/>
  <c r="J46" i="4"/>
  <c r="I46" i="4"/>
  <c r="H46" i="4"/>
  <c r="G46" i="4"/>
  <c r="F46" i="4"/>
  <c r="E46" i="4"/>
  <c r="D46" i="4"/>
  <c r="C46" i="4"/>
  <c r="B46" i="4"/>
  <c r="A46" i="4"/>
  <c r="K45" i="4"/>
  <c r="J45" i="4"/>
  <c r="I45" i="4"/>
  <c r="H45" i="4"/>
  <c r="G45" i="4"/>
  <c r="F45" i="4"/>
  <c r="E45" i="4"/>
  <c r="D45" i="4"/>
  <c r="C45" i="4"/>
  <c r="B45" i="4"/>
  <c r="A45" i="4"/>
  <c r="K44" i="4"/>
  <c r="J44" i="4"/>
  <c r="I44" i="4"/>
  <c r="H44" i="4"/>
  <c r="G44" i="4"/>
  <c r="F44" i="4"/>
  <c r="E44" i="4"/>
  <c r="D44" i="4"/>
  <c r="C44" i="4"/>
  <c r="B44" i="4"/>
  <c r="A44" i="4"/>
  <c r="K43" i="4"/>
  <c r="J43" i="4"/>
  <c r="I43" i="4"/>
  <c r="H43" i="4"/>
  <c r="G43" i="4"/>
  <c r="F43" i="4"/>
  <c r="E43" i="4"/>
  <c r="D43" i="4"/>
  <c r="C43" i="4"/>
  <c r="B43" i="4"/>
  <c r="A43" i="4"/>
  <c r="K42" i="4"/>
  <c r="J42" i="4"/>
  <c r="H42" i="4"/>
  <c r="G42" i="4"/>
  <c r="F42" i="4"/>
  <c r="E42" i="4"/>
  <c r="D42" i="4"/>
  <c r="C42" i="4"/>
  <c r="B42" i="4"/>
  <c r="A42" i="4"/>
  <c r="K41" i="4"/>
  <c r="J41" i="4"/>
  <c r="H41" i="4"/>
  <c r="G41" i="4"/>
  <c r="F41" i="4"/>
  <c r="E41" i="4"/>
  <c r="D41" i="4"/>
  <c r="C41" i="4"/>
  <c r="B41" i="4"/>
  <c r="A41" i="4"/>
  <c r="K40" i="4"/>
  <c r="J40" i="4"/>
  <c r="H40" i="4"/>
  <c r="G40" i="4"/>
  <c r="F40" i="4"/>
  <c r="E40" i="4"/>
  <c r="D40" i="4"/>
  <c r="C40" i="4"/>
  <c r="B40" i="4"/>
  <c r="A40" i="4"/>
  <c r="K39" i="4"/>
  <c r="J39" i="4"/>
  <c r="I39" i="4"/>
  <c r="H39" i="4"/>
  <c r="G39" i="4"/>
  <c r="F39" i="4"/>
  <c r="E39" i="4"/>
  <c r="D39" i="4"/>
  <c r="C39" i="4"/>
  <c r="B39" i="4"/>
  <c r="A39" i="4"/>
  <c r="K38" i="4"/>
  <c r="J38" i="4"/>
  <c r="H38" i="4"/>
  <c r="G38" i="4"/>
  <c r="F38" i="4"/>
  <c r="E38" i="4"/>
  <c r="D38" i="4"/>
  <c r="C38" i="4"/>
  <c r="B38" i="4"/>
  <c r="A38" i="4"/>
  <c r="K37" i="4"/>
  <c r="J37" i="4"/>
  <c r="I37" i="4"/>
  <c r="H37" i="4"/>
  <c r="G37" i="4"/>
  <c r="F37" i="4"/>
  <c r="E37" i="4"/>
  <c r="D37" i="4"/>
  <c r="C37" i="4"/>
  <c r="B37" i="4"/>
  <c r="A37" i="4"/>
  <c r="K36" i="4"/>
  <c r="J36" i="4"/>
  <c r="H36" i="4"/>
  <c r="G36" i="4"/>
  <c r="F36" i="4"/>
  <c r="E36" i="4"/>
  <c r="D36" i="4"/>
  <c r="C36" i="4"/>
  <c r="B36" i="4"/>
  <c r="A36" i="4"/>
  <c r="K35" i="4"/>
  <c r="J35" i="4"/>
  <c r="H35" i="4"/>
  <c r="G35" i="4"/>
  <c r="F35" i="4"/>
  <c r="E35" i="4"/>
  <c r="D35" i="4"/>
  <c r="C35" i="4"/>
  <c r="B35" i="4"/>
  <c r="A35" i="4"/>
  <c r="K34" i="4"/>
  <c r="J34" i="4"/>
  <c r="I34" i="4"/>
  <c r="H34" i="4"/>
  <c r="G34" i="4"/>
  <c r="F34" i="4"/>
  <c r="E34" i="4"/>
  <c r="D34" i="4"/>
  <c r="C34" i="4"/>
  <c r="B34" i="4"/>
  <c r="A34" i="4"/>
  <c r="K33" i="4"/>
  <c r="J33" i="4"/>
  <c r="I33" i="4"/>
  <c r="H33" i="4"/>
  <c r="G33" i="4"/>
  <c r="F33" i="4"/>
  <c r="E33" i="4"/>
  <c r="D33" i="4"/>
  <c r="C33" i="4"/>
  <c r="B33" i="4"/>
  <c r="A33" i="4"/>
  <c r="J32" i="4"/>
  <c r="I32" i="4"/>
  <c r="H32" i="4"/>
  <c r="G32" i="4"/>
  <c r="F32" i="4"/>
  <c r="E32" i="4"/>
  <c r="D32" i="4"/>
  <c r="C32" i="4"/>
  <c r="B32" i="4"/>
  <c r="A32" i="4"/>
  <c r="K31" i="4"/>
  <c r="J31" i="4"/>
  <c r="I31" i="4"/>
  <c r="H31" i="4"/>
  <c r="G31" i="4"/>
  <c r="F31" i="4"/>
  <c r="E31" i="4"/>
  <c r="D31" i="4"/>
  <c r="C31" i="4"/>
  <c r="B31" i="4"/>
  <c r="A31" i="4"/>
  <c r="K30" i="4"/>
  <c r="J30" i="4"/>
  <c r="I30" i="4"/>
  <c r="H30" i="4"/>
  <c r="G30" i="4"/>
  <c r="F30" i="4"/>
  <c r="E30" i="4"/>
  <c r="D30" i="4"/>
  <c r="C30" i="4"/>
  <c r="B30" i="4"/>
  <c r="A30" i="4"/>
  <c r="K29" i="4"/>
  <c r="J29" i="4"/>
  <c r="I29" i="4"/>
  <c r="H29" i="4"/>
  <c r="G29" i="4"/>
  <c r="F29" i="4"/>
  <c r="E29" i="4"/>
  <c r="D29" i="4"/>
  <c r="C29" i="4"/>
  <c r="B29" i="4"/>
  <c r="A29" i="4"/>
  <c r="K28" i="4"/>
  <c r="J28" i="4"/>
  <c r="I28" i="4"/>
  <c r="H28" i="4"/>
  <c r="G28" i="4"/>
  <c r="F28" i="4"/>
  <c r="E28" i="4"/>
  <c r="D28" i="4"/>
  <c r="C28" i="4"/>
  <c r="B28" i="4"/>
  <c r="A28" i="4"/>
  <c r="K27" i="4"/>
  <c r="J27" i="4"/>
  <c r="I27" i="4"/>
  <c r="H27" i="4"/>
  <c r="G27" i="4"/>
  <c r="F27" i="4"/>
  <c r="E27" i="4"/>
  <c r="D27" i="4"/>
  <c r="C27" i="4"/>
  <c r="B27" i="4"/>
  <c r="A27" i="4"/>
  <c r="K26" i="4"/>
  <c r="J26" i="4"/>
  <c r="I26" i="4"/>
  <c r="H26" i="4"/>
  <c r="G26" i="4"/>
  <c r="F26" i="4"/>
  <c r="E26" i="4"/>
  <c r="D26" i="4"/>
  <c r="C26" i="4"/>
  <c r="B26" i="4"/>
  <c r="A26" i="4"/>
  <c r="J25" i="4"/>
  <c r="I25" i="4"/>
  <c r="H25" i="4"/>
  <c r="G25" i="4"/>
  <c r="F25" i="4"/>
  <c r="E25" i="4"/>
  <c r="D25" i="4"/>
  <c r="C25" i="4"/>
  <c r="B25" i="4"/>
  <c r="A25" i="4"/>
  <c r="K24" i="4"/>
  <c r="J24" i="4"/>
  <c r="I24" i="4"/>
  <c r="H24" i="4"/>
  <c r="G24" i="4"/>
  <c r="F24" i="4"/>
  <c r="E24" i="4"/>
  <c r="D24" i="4"/>
  <c r="C24" i="4"/>
  <c r="B24" i="4"/>
  <c r="A24" i="4"/>
  <c r="K23" i="4"/>
  <c r="J23" i="4"/>
  <c r="I23" i="4"/>
  <c r="H23" i="4"/>
  <c r="G23" i="4"/>
  <c r="F23" i="4"/>
  <c r="E23" i="4"/>
  <c r="D23" i="4"/>
  <c r="C23" i="4"/>
  <c r="B23" i="4"/>
  <c r="A23" i="4"/>
  <c r="K22" i="4"/>
  <c r="J22" i="4"/>
  <c r="H22" i="4"/>
  <c r="G22" i="4"/>
  <c r="F22" i="4"/>
  <c r="E22" i="4"/>
  <c r="D22" i="4"/>
  <c r="C22" i="4"/>
  <c r="B22" i="4"/>
  <c r="A22" i="4"/>
  <c r="K21" i="4"/>
  <c r="J21" i="4"/>
  <c r="H21" i="4"/>
  <c r="G21" i="4"/>
  <c r="F21" i="4"/>
  <c r="E21" i="4"/>
  <c r="D21" i="4"/>
  <c r="C21" i="4"/>
  <c r="B21" i="4"/>
  <c r="A21" i="4"/>
  <c r="K20" i="4"/>
  <c r="J20" i="4"/>
  <c r="H20" i="4"/>
  <c r="G20" i="4"/>
  <c r="F20" i="4"/>
  <c r="E20" i="4"/>
  <c r="D20" i="4"/>
  <c r="C20" i="4"/>
  <c r="B20" i="4"/>
  <c r="A20" i="4"/>
  <c r="K19" i="4"/>
  <c r="J19" i="4"/>
  <c r="I19" i="4"/>
  <c r="H19" i="4"/>
  <c r="G19" i="4"/>
  <c r="F19" i="4"/>
  <c r="E19" i="4"/>
  <c r="D19" i="4"/>
  <c r="C19" i="4"/>
  <c r="B19" i="4"/>
  <c r="A19" i="4"/>
  <c r="K18" i="4"/>
  <c r="J18" i="4"/>
  <c r="H18" i="4"/>
  <c r="G18" i="4"/>
  <c r="F18" i="4"/>
  <c r="E18" i="4"/>
  <c r="D18" i="4"/>
  <c r="C18" i="4"/>
  <c r="B18" i="4"/>
  <c r="A18" i="4"/>
  <c r="K17" i="4"/>
  <c r="J17" i="4"/>
  <c r="H17" i="4"/>
  <c r="G17" i="4"/>
  <c r="F17" i="4"/>
  <c r="E17" i="4"/>
  <c r="D17" i="4"/>
  <c r="C17" i="4"/>
  <c r="B17" i="4"/>
  <c r="A17" i="4"/>
  <c r="K16" i="4"/>
  <c r="J16" i="4"/>
  <c r="I16" i="4"/>
  <c r="H16" i="4"/>
  <c r="G16" i="4"/>
  <c r="F16" i="4"/>
  <c r="E16" i="4"/>
  <c r="D16" i="4"/>
  <c r="C16" i="4"/>
  <c r="B16" i="4"/>
  <c r="A16" i="4"/>
  <c r="K15" i="4"/>
  <c r="J15" i="4"/>
  <c r="I15" i="4"/>
  <c r="H15" i="4"/>
  <c r="G15" i="4"/>
  <c r="F15" i="4"/>
  <c r="E15" i="4"/>
  <c r="D15" i="4"/>
  <c r="C15" i="4"/>
  <c r="B15" i="4"/>
  <c r="A15" i="4"/>
  <c r="K14" i="4"/>
  <c r="J14" i="4"/>
  <c r="H14" i="4"/>
  <c r="G14" i="4"/>
  <c r="F14" i="4"/>
  <c r="E14" i="4"/>
  <c r="D14" i="4"/>
  <c r="C14" i="4"/>
  <c r="B14" i="4"/>
  <c r="A14" i="4"/>
  <c r="K13" i="4"/>
  <c r="J13" i="4"/>
  <c r="I13" i="4"/>
  <c r="H13" i="4"/>
  <c r="G13" i="4"/>
  <c r="F13" i="4"/>
  <c r="E13" i="4"/>
  <c r="D13" i="4"/>
  <c r="C13" i="4"/>
  <c r="B13" i="4"/>
  <c r="A13" i="4"/>
  <c r="K12" i="4"/>
  <c r="J12" i="4"/>
  <c r="I12" i="4"/>
  <c r="H12" i="4"/>
  <c r="G12" i="4"/>
  <c r="F12" i="4"/>
  <c r="E12" i="4"/>
  <c r="D12" i="4"/>
  <c r="C12" i="4"/>
  <c r="B12" i="4"/>
  <c r="A12" i="4"/>
  <c r="K11" i="4"/>
  <c r="J11" i="4"/>
  <c r="I11" i="4"/>
  <c r="H11" i="4"/>
  <c r="G11" i="4"/>
  <c r="F11" i="4"/>
  <c r="E11" i="4"/>
  <c r="D11" i="4"/>
  <c r="C11" i="4"/>
  <c r="B11" i="4"/>
  <c r="A11" i="4"/>
  <c r="K10" i="4"/>
  <c r="J10" i="4"/>
  <c r="I10" i="4"/>
  <c r="H10" i="4"/>
  <c r="G10" i="4"/>
  <c r="F10" i="4"/>
  <c r="E10" i="4"/>
  <c r="D10" i="4"/>
  <c r="C10" i="4"/>
  <c r="B10" i="4"/>
  <c r="A10" i="4"/>
  <c r="K9" i="4"/>
  <c r="J9" i="4"/>
  <c r="I9" i="4"/>
  <c r="H9" i="4"/>
  <c r="G9" i="4"/>
  <c r="F9" i="4"/>
  <c r="E9" i="4"/>
  <c r="D9" i="4"/>
  <c r="C9" i="4"/>
  <c r="B9" i="4"/>
  <c r="A9" i="4"/>
  <c r="K8" i="4"/>
  <c r="J8" i="4"/>
  <c r="I8" i="4"/>
  <c r="H8" i="4"/>
  <c r="G8" i="4"/>
  <c r="F8" i="4"/>
  <c r="E8" i="4"/>
  <c r="D8" i="4"/>
  <c r="C8" i="4"/>
  <c r="B8" i="4"/>
  <c r="A8" i="4"/>
  <c r="K7" i="4"/>
  <c r="J7" i="4"/>
  <c r="I7" i="4"/>
  <c r="H7" i="4"/>
  <c r="G7" i="4"/>
  <c r="F7" i="4"/>
  <c r="E7" i="4"/>
  <c r="D7" i="4"/>
  <c r="C7" i="4"/>
  <c r="B7" i="4"/>
  <c r="A7" i="4"/>
  <c r="K6" i="4"/>
  <c r="J6" i="4"/>
  <c r="I6" i="4"/>
  <c r="H6" i="4"/>
  <c r="G6" i="4"/>
  <c r="F6" i="4"/>
  <c r="E6" i="4"/>
  <c r="D6" i="4"/>
  <c r="C6" i="4"/>
  <c r="B6" i="4"/>
  <c r="A6" i="4"/>
  <c r="K5" i="4"/>
  <c r="J5" i="4"/>
  <c r="I5" i="4"/>
  <c r="H5" i="4"/>
  <c r="G5" i="4"/>
  <c r="F5" i="4"/>
  <c r="E5" i="4"/>
  <c r="D5" i="4"/>
  <c r="C5" i="4"/>
  <c r="B5" i="4"/>
  <c r="A5" i="4"/>
  <c r="K4" i="4"/>
  <c r="J4" i="4"/>
  <c r="I4" i="4"/>
  <c r="H4" i="4"/>
  <c r="G4" i="4"/>
  <c r="F4" i="4"/>
  <c r="E4" i="4"/>
  <c r="D4" i="4"/>
  <c r="C4" i="4"/>
  <c r="B4" i="4"/>
  <c r="A4" i="4"/>
  <c r="K3" i="4"/>
  <c r="J3" i="4"/>
  <c r="I3" i="4"/>
  <c r="H3" i="4"/>
  <c r="G3" i="4"/>
  <c r="F3" i="4"/>
  <c r="E3" i="4"/>
  <c r="D3" i="4"/>
  <c r="C3" i="4"/>
  <c r="B3" i="4"/>
  <c r="A3" i="4"/>
  <c r="K2" i="4"/>
  <c r="J2" i="4"/>
  <c r="I2" i="4"/>
  <c r="H2" i="4"/>
  <c r="G2" i="4"/>
  <c r="F2" i="4"/>
  <c r="E2" i="4"/>
  <c r="D2" i="4"/>
  <c r="C2" i="4"/>
  <c r="B2" i="4"/>
  <c r="A2" i="4"/>
  <c r="P1" i="4"/>
  <c r="O1" i="4"/>
  <c r="K1" i="4"/>
  <c r="J1" i="4"/>
  <c r="I1" i="4"/>
  <c r="H1" i="4"/>
  <c r="G1" i="4"/>
  <c r="F1" i="4"/>
  <c r="E1" i="4"/>
  <c r="D1" i="4"/>
  <c r="C1" i="4"/>
  <c r="B1" i="4"/>
  <c r="A1" i="4"/>
</calcChain>
</file>

<file path=xl/sharedStrings.xml><?xml version="1.0" encoding="utf-8"?>
<sst xmlns="http://schemas.openxmlformats.org/spreadsheetml/2006/main" count="1194" uniqueCount="575">
  <si>
    <t>แผนก</t>
  </si>
  <si>
    <t>ZONE_ID</t>
  </si>
  <si>
    <t>นำจ่ายรถยนต์</t>
  </si>
  <si>
    <t>CAR10260EVD5012</t>
  </si>
  <si>
    <t>DB3</t>
  </si>
  <si>
    <t>DB1</t>
  </si>
  <si>
    <t>EMS10260EVD1023</t>
  </si>
  <si>
    <t>DB2</t>
  </si>
  <si>
    <t>EMS10260EVD2009</t>
  </si>
  <si>
    <t>EMS10260EVD1019</t>
  </si>
  <si>
    <t>EMS10260EVD1036</t>
  </si>
  <si>
    <t>DB4</t>
  </si>
  <si>
    <t>EMS10260EVD2023</t>
  </si>
  <si>
    <t>ZNE10260EVD5001</t>
  </si>
  <si>
    <t>CAR10260EVD5007</t>
  </si>
  <si>
    <t>CAR10260EVD5013</t>
  </si>
  <si>
    <t>ZNE10260EVD1002</t>
  </si>
  <si>
    <t>EMS10260EVD1028</t>
  </si>
  <si>
    <t>EMS10260EVD2001</t>
  </si>
  <si>
    <t>CAR10260EVD5006</t>
  </si>
  <si>
    <t>EMS10260EVD2017</t>
  </si>
  <si>
    <t>ZNE10260EVD3003</t>
  </si>
  <si>
    <t>EMS10260EVD1006</t>
  </si>
  <si>
    <t>CAR10260EVD5002</t>
  </si>
  <si>
    <t>EMS10260EVD2007</t>
  </si>
  <si>
    <t>EMS10260EVD2018</t>
  </si>
  <si>
    <t>EMS10260EVD1033</t>
  </si>
  <si>
    <t>EMS10260EVD1022</t>
  </si>
  <si>
    <t>EMS10260EVD2020</t>
  </si>
  <si>
    <t>EMS10260EVD1008</t>
  </si>
  <si>
    <t>EMS10260EVD1026</t>
  </si>
  <si>
    <t>EMS10260EVD2002</t>
  </si>
  <si>
    <t>CAR10260EVD5008</t>
  </si>
  <si>
    <t>CAR10260EVD5003</t>
  </si>
  <si>
    <t>CAR10260EVD5010</t>
  </si>
  <si>
    <t>EMS10260EVD2021</t>
  </si>
  <si>
    <t>EMS10260EVD1002</t>
  </si>
  <si>
    <t>EMS10260EVD1031</t>
  </si>
  <si>
    <t>EMS10260EVD2008</t>
  </si>
  <si>
    <t>ZNE10260EVD2003</t>
  </si>
  <si>
    <t>EMS10260EVD1012</t>
  </si>
  <si>
    <t>EMS10260EVD2010</t>
  </si>
  <si>
    <t>EMS10260EVD2014</t>
  </si>
  <si>
    <t>EMS10260EVD2016</t>
  </si>
  <si>
    <t>ZNE10260EVD1005</t>
  </si>
  <si>
    <t>CAR10260EVD5014</t>
  </si>
  <si>
    <t>ZNE10260EVD1003</t>
  </si>
  <si>
    <t>EMS10260EVD2019</t>
  </si>
  <si>
    <t>EMS10260EVD1025</t>
  </si>
  <si>
    <t>CAR10260EVD5005</t>
  </si>
  <si>
    <t>EMS10260EVD1030</t>
  </si>
  <si>
    <t>EMS10260EVD1007</t>
  </si>
  <si>
    <t>EMS10260EVD2013</t>
  </si>
  <si>
    <t>EMS10260EVD1032</t>
  </si>
  <si>
    <t>CAR10260EVD5001</t>
  </si>
  <si>
    <t>EMS10260EVD1027</t>
  </si>
  <si>
    <t>EMS10260EVD1001</t>
  </si>
  <si>
    <t>EMS10260EVD1011</t>
  </si>
  <si>
    <t>CAR10260EVD5004</t>
  </si>
  <si>
    <t>CAR10260EVD5011</t>
  </si>
  <si>
    <t>EMS10260EVD2005</t>
  </si>
  <si>
    <t>EMS10260EVD2006</t>
  </si>
  <si>
    <t>EMS10260EVD1020</t>
  </si>
  <si>
    <t>EMS10260EVD1003</t>
  </si>
  <si>
    <t>EMS10260EVD1017</t>
  </si>
  <si>
    <t>ZNE10260EVD1004</t>
  </si>
  <si>
    <t>CAR10260EVD5009</t>
  </si>
  <si>
    <t>EMS10260EVD1005</t>
  </si>
  <si>
    <t>EMS10260EVD1013</t>
  </si>
  <si>
    <t>EMS10260EVD2003</t>
  </si>
  <si>
    <t>EMS10260EVD2024</t>
  </si>
  <si>
    <t>EMS10260EVD2004</t>
  </si>
  <si>
    <t>ZNE10260EVD4001</t>
  </si>
  <si>
    <t>EMS10260EVD2012</t>
  </si>
  <si>
    <t>ZNE10260EVD3001</t>
  </si>
  <si>
    <t>EMS10260EVD2022</t>
  </si>
  <si>
    <t>EMS10260EVD1021</t>
  </si>
  <si>
    <t>EMS10260EVD1014</t>
  </si>
  <si>
    <t>EMS10260EVD1016</t>
  </si>
  <si>
    <t>EMS10260EVD1034</t>
  </si>
  <si>
    <t>ZNE10260EVD1006</t>
  </si>
  <si>
    <t>ZNE10260EVD2004</t>
  </si>
  <si>
    <t>ZNE10260EVD3006</t>
  </si>
  <si>
    <t>EMS10260EVD1035</t>
  </si>
  <si>
    <t>EMS10260EVD2011</t>
  </si>
  <si>
    <t>ZNE10260EVD3004</t>
  </si>
  <si>
    <t>EMS10260EVD1024</t>
  </si>
  <si>
    <t>EMS10260EVD1018</t>
  </si>
  <si>
    <t>EMS10260EVD1015</t>
  </si>
  <si>
    <t>ZNE10260EVD3002</t>
  </si>
  <si>
    <t>EMS10260EVD1010</t>
  </si>
  <si>
    <t>EMS10260EVD1029</t>
  </si>
  <si>
    <t>ZNE10260EVD5002</t>
  </si>
  <si>
    <t>EMS10260EVD1009</t>
  </si>
  <si>
    <t>EMS10260EVD1004</t>
  </si>
  <si>
    <t>ZNE10260EVD2002</t>
  </si>
  <si>
    <t>thanuwat.cp</t>
  </si>
  <si>
    <t>ZNE10260EVD4004</t>
  </si>
  <si>
    <t>somnuek.mi</t>
  </si>
  <si>
    <t>ZNE10260EVD1001</t>
  </si>
  <si>
    <t>ZNE10260EVD3005</t>
  </si>
  <si>
    <t>ZNE10260EVD4002</t>
  </si>
  <si>
    <t>EMS10260EVD2015</t>
  </si>
  <si>
    <t>rungrot.pr</t>
  </si>
  <si>
    <t>ZNE10260EVD4003</t>
  </si>
  <si>
    <t>ZNE10260EVD2001</t>
  </si>
  <si>
    <t>REG10260EVD0001</t>
  </si>
  <si>
    <t>EMS10260EVD0326</t>
  </si>
  <si>
    <t>EMS10260EVD0417</t>
  </si>
  <si>
    <t>EMS10260EVD0419</t>
  </si>
  <si>
    <t>EMS10260EVD0318</t>
  </si>
  <si>
    <t>EMS10260EVD0322</t>
  </si>
  <si>
    <t>EMS10260EVD0328</t>
  </si>
  <si>
    <t>EMS10260EVD0338</t>
  </si>
  <si>
    <t>EMS10260EVD0308</t>
  </si>
  <si>
    <t>EMS10260EVD0423</t>
  </si>
  <si>
    <t>EMS10260EVD0402</t>
  </si>
  <si>
    <t>EMS10260EVD0404</t>
  </si>
  <si>
    <t>EMS10260EVD0336</t>
  </si>
  <si>
    <t>EMS10260EVD0414</t>
  </si>
  <si>
    <t>EMS10260EVD0416</t>
  </si>
  <si>
    <t>EMS10260EVD0334</t>
  </si>
  <si>
    <t>EMS10260EVD0418</t>
  </si>
  <si>
    <t>EMS10260EVD0313</t>
  </si>
  <si>
    <t>EMS10260EVD0309</t>
  </si>
  <si>
    <t>EMS10260EVD0311</t>
  </si>
  <si>
    <t>EMS10260EVD0317</t>
  </si>
  <si>
    <t>EMS10260EVD0401</t>
  </si>
  <si>
    <t>EMS10260EVD0312</t>
  </si>
  <si>
    <t>EMS10260EVD0310</t>
  </si>
  <si>
    <t>EMS10260EVD0314</t>
  </si>
  <si>
    <t>EMS10260EVD0408</t>
  </si>
  <si>
    <t>EMS10260EVD0337</t>
  </si>
  <si>
    <t>EMS10260EVD0333</t>
  </si>
  <si>
    <t>EMS10260EVD0424</t>
  </si>
  <si>
    <t>EMS10260EVD0403</t>
  </si>
  <si>
    <t>EMS10260EVD0405</t>
  </si>
  <si>
    <t>EMS10260EVD0410</t>
  </si>
  <si>
    <t>EMS10260EVD0415</t>
  </si>
  <si>
    <t>EMS10260EVD0301</t>
  </si>
  <si>
    <t>EMS10260EVD0323</t>
  </si>
  <si>
    <t>EMS10260EVD0332</t>
  </si>
  <si>
    <t>EMS10260EVD0421</t>
  </si>
  <si>
    <t>EMS10260EVD0303</t>
  </si>
  <si>
    <t>EMS10260EVD0320</t>
  </si>
  <si>
    <t>EMS10260EVD0420</t>
  </si>
  <si>
    <t>EMS10260EVD0306</t>
  </si>
  <si>
    <t>EMS10260EVD0307</t>
  </si>
  <si>
    <t>EMS10260EVD0316</t>
  </si>
  <si>
    <t>EMS10260EVD0305</t>
  </si>
  <si>
    <t>EMS10260EVD0406</t>
  </si>
  <si>
    <t>EMS10260EVD0319</t>
  </si>
  <si>
    <t>EMS10260EVD0413</t>
  </si>
  <si>
    <t>EMS10260EVD0335</t>
  </si>
  <si>
    <t>EMS10260EVD0422</t>
  </si>
  <si>
    <t>EMS10260EVD0321</t>
  </si>
  <si>
    <t>EMS10260EVD0324</t>
  </si>
  <si>
    <t>EMS10260EVD0407</t>
  </si>
  <si>
    <t>EMS10260EVD0325</t>
  </si>
  <si>
    <t>EMS10260EVD0327</t>
  </si>
  <si>
    <t>EMS10260EVD0329</t>
  </si>
  <si>
    <t>EMS10260EVD0304</t>
  </si>
  <si>
    <t>EMS10260EVD0315</t>
  </si>
  <si>
    <t>EMS10260EVD0409</t>
  </si>
  <si>
    <t>EMS10260EVD0412</t>
  </si>
  <si>
    <t>EMS10260EVD0302</t>
  </si>
  <si>
    <t>EMS10260EVD0331</t>
  </si>
  <si>
    <t>EMS10260EVD0411</t>
  </si>
  <si>
    <t>EMS10260EVD0339</t>
  </si>
  <si>
    <t>ZONE_TH</t>
  </si>
  <si>
    <t>NAME</t>
  </si>
  <si>
    <t>EMPLOYEE_ID</t>
  </si>
  <si>
    <t>CHIEF OFFICER</t>
  </si>
  <si>
    <t>DB HEAD</t>
  </si>
  <si>
    <t>เจ้าหน้าที่งานเก็บเงิน/งานพิเศษ</t>
  </si>
  <si>
    <t>นายวิเชียร สืบกาสี</t>
  </si>
  <si>
    <t>WICHIAN.SL</t>
  </si>
  <si>
    <t>ซนจ.1</t>
  </si>
  <si>
    <t>นายไพรวัล วิจิตร</t>
  </si>
  <si>
    <t>priwan.wi</t>
  </si>
  <si>
    <t>ซนจ.2</t>
  </si>
  <si>
    <t>นายทวี กันยายุทธ์</t>
  </si>
  <si>
    <t>tawee.kn</t>
  </si>
  <si>
    <t>ซนจ.3</t>
  </si>
  <si>
    <t>นายเกรียงศักดิ์ โกศรี</t>
  </si>
  <si>
    <t>kareingsak.ko</t>
  </si>
  <si>
    <t>ซนจ.4</t>
  </si>
  <si>
    <t>นายสุรศักดิ์ เขียวลา</t>
  </si>
  <si>
    <t>sukrasak.ke</t>
  </si>
  <si>
    <t>ซนจ.5</t>
  </si>
  <si>
    <t>นายรุ่งโรจน์ ประทุมมา</t>
  </si>
  <si>
    <t>ซนจ.6</t>
  </si>
  <si>
    <t>นายธนกฤต บินอามัด</t>
  </si>
  <si>
    <t>thanakrit.bi</t>
  </si>
  <si>
    <t>ด้านจ่ายที่ 1</t>
  </si>
  <si>
    <t>นายไพรัตน์ หนูนารถ</t>
  </si>
  <si>
    <t>pairut.nu</t>
  </si>
  <si>
    <t>ด้านจ่ายที่ 2</t>
  </si>
  <si>
    <t>นายกิตติศักดิ์ บุญปัญญา</t>
  </si>
  <si>
    <t>kittisak.bp</t>
  </si>
  <si>
    <t>ด้านจ่ายที่ 3</t>
  </si>
  <si>
    <t>นายวราเทพ  ประภารักษ์</t>
  </si>
  <si>
    <t>waratep.ph</t>
  </si>
  <si>
    <t>ด้านจ่ายที่ 4</t>
  </si>
  <si>
    <t>นายฐาปกรณ์ พรรษา</t>
  </si>
  <si>
    <t>thapakorn.pa</t>
  </si>
  <si>
    <t>ด้านจ่ายที่ 5</t>
  </si>
  <si>
    <t>ธิติวัฒน์ เจริญวุฒิธิติธน</t>
  </si>
  <si>
    <t>thitiwat.jr</t>
  </si>
  <si>
    <t>ด้านจ่ายที่ 6</t>
  </si>
  <si>
    <t>นส.วิรวรรณ จงอยู่เย็น</t>
  </si>
  <si>
    <t>virawan.jo</t>
  </si>
  <si>
    <t>ด้านจ่ายที่ 7</t>
  </si>
  <si>
    <t>นายอัศวิน  ประเจริญ</t>
  </si>
  <si>
    <t>autsawin.pr</t>
  </si>
  <si>
    <t>ด้านจ่ายที่ 8</t>
  </si>
  <si>
    <t>นายอนุสรณ์ บินอามัด</t>
  </si>
  <si>
    <t>anusorn.bi</t>
  </si>
  <si>
    <t>ด้านจ่ายที่ 9</t>
  </si>
  <si>
    <t>นายธนวัฒน์ แก้วจินดา</t>
  </si>
  <si>
    <t>tanawat.kw</t>
  </si>
  <si>
    <t>ด้านจ่ายที่ 10</t>
  </si>
  <si>
    <t>นายอักษร  ศรีจันทร์</t>
  </si>
  <si>
    <t>akson.sr</t>
  </si>
  <si>
    <t>ด้านจ่ายที่ 11</t>
  </si>
  <si>
    <t>นายวัชรพล รพีพันธุ์</t>
  </si>
  <si>
    <t>watcharapon.ra</t>
  </si>
  <si>
    <t>ด้านจ่ายที่ 12</t>
  </si>
  <si>
    <t>นายกิตติวัฒน์ ดวงดี</t>
  </si>
  <si>
    <t>kittiwat.du</t>
  </si>
  <si>
    <t>ด้านจ่ายที่ 13</t>
  </si>
  <si>
    <t>นายวิวัฒน์ จงอยู่เย็น</t>
  </si>
  <si>
    <t>wiwat.cg</t>
  </si>
  <si>
    <t>ด้านจ่ายที่ 14</t>
  </si>
  <si>
    <t>นายชัชรินทร์ ธรรมปรีชา</t>
  </si>
  <si>
    <t>chadcharin.th</t>
  </si>
  <si>
    <t>ด้านจ่ายที่ 15</t>
  </si>
  <si>
    <t>นายประกาศิต นวลตา</t>
  </si>
  <si>
    <t>prakasit.nu</t>
  </si>
  <si>
    <t>ด้านจ่ายที่ 16</t>
  </si>
  <si>
    <t>นายอรรถพล สมปาง</t>
  </si>
  <si>
    <t>attapon.so</t>
  </si>
  <si>
    <t>ด้านจ่ายที่ 17</t>
  </si>
  <si>
    <t>นายฉัตรชัย พูลกลาง</t>
  </si>
  <si>
    <t>chatchai.pu</t>
  </si>
  <si>
    <t>ด้านจ่ายที่ 18</t>
  </si>
  <si>
    <t>ไชยยุทธ  จิตตปรัชญากุล</t>
  </si>
  <si>
    <t>chaiyut.ji</t>
  </si>
  <si>
    <t>ด้านจ่ายที่ 19</t>
  </si>
  <si>
    <t>นายอติชาติ เผ่าภู่</t>
  </si>
  <si>
    <t>atichat.pa</t>
  </si>
  <si>
    <t>ด้านจ่ายที่ 20</t>
  </si>
  <si>
    <t>นายธนาทรณ์  ธรรมภิใจ</t>
  </si>
  <si>
    <t>thanathon.th</t>
  </si>
  <si>
    <t>ด้านจ่ายที่ 21</t>
  </si>
  <si>
    <t>นายพลาดิศัย ผาอุดร</t>
  </si>
  <si>
    <t>paladisay.ph</t>
  </si>
  <si>
    <t>ด้านจ่ายที่ 22</t>
  </si>
  <si>
    <t>นายพงษ์เทพ วิจิตร</t>
  </si>
  <si>
    <t>pongthep.wi</t>
  </si>
  <si>
    <t>ด้านจ่ายที่ 23</t>
  </si>
  <si>
    <t>นายสมชาย  ชัยดี</t>
  </si>
  <si>
    <t>somchai.cs</t>
  </si>
  <si>
    <t>ด้านจ่ายที่ 24</t>
  </si>
  <si>
    <t>นางสาววชิรญาณ์ คำรวิสรา</t>
  </si>
  <si>
    <t>washiraya.ku</t>
  </si>
  <si>
    <t>ด้านจ่ายที่ 25</t>
  </si>
  <si>
    <t>นายธีธัช มาตรเจริญ</t>
  </si>
  <si>
    <t>teetuch.db125</t>
  </si>
  <si>
    <t>ด้านจ่ายที่ 26</t>
  </si>
  <si>
    <t>นายปัณณวัชร์ วัฒนานนทพัฒน์</t>
  </si>
  <si>
    <t>pannawat.wa</t>
  </si>
  <si>
    <t>ด้านจ่ายที่ 27</t>
  </si>
  <si>
    <t>นายปัฐวี ยะรังวงษ์</t>
  </si>
  <si>
    <t>pattawee.yr</t>
  </si>
  <si>
    <t>ด้านจ่ายที่ 28</t>
  </si>
  <si>
    <t>นายวรากรณ์ อักษรทิพย์</t>
  </si>
  <si>
    <t>warakorn.ak</t>
  </si>
  <si>
    <t>ด้านจ่ายที่ 29</t>
  </si>
  <si>
    <t>นายเกษมสันต์ เกียรติอุดมทัศน์</t>
  </si>
  <si>
    <t>kaseamson.ki</t>
  </si>
  <si>
    <t>ด้านจ่ายที่ 30</t>
  </si>
  <si>
    <t>นายธนพล  วาดเฮ้า</t>
  </si>
  <si>
    <t>thanapon.wad</t>
  </si>
  <si>
    <t>ด้านจ่ายที่ 31</t>
  </si>
  <si>
    <t>นายศราวุฒิ ทรายกระโทก</t>
  </si>
  <si>
    <t>sarawoot.sa</t>
  </si>
  <si>
    <t>ด้านจ่ายที่ 32</t>
  </si>
  <si>
    <t>นายจตุรงค์ เอี่ยมท้วม</t>
  </si>
  <si>
    <t>jaturong.em</t>
  </si>
  <si>
    <t>ด้านจ่ายที่ 33</t>
  </si>
  <si>
    <t>นายธนกฤต สบายตัว</t>
  </si>
  <si>
    <t>thanakrit.sa</t>
  </si>
  <si>
    <t>ด้านจ่ายที่ 34</t>
  </si>
  <si>
    <t>นายอรินทร์ ธรรมปรีชา</t>
  </si>
  <si>
    <t>arin.ta</t>
  </si>
  <si>
    <t>ด้านจ่ายที่ 35</t>
  </si>
  <si>
    <t>นายพิสุทธิ์ พจน์พิสุทธิ์</t>
  </si>
  <si>
    <t>phisut.ph</t>
  </si>
  <si>
    <t>ด้านจ่ายที่ 36</t>
  </si>
  <si>
    <t>นายสุริยา ชื่นมั่น</t>
  </si>
  <si>
    <t>suriya.cm</t>
  </si>
  <si>
    <t>REG10260EVD0002</t>
  </si>
  <si>
    <t>นายทนุวัฒน์ ชมภูพื้น</t>
  </si>
  <si>
    <t>นายวรวัฒน์ ฉิมพุดชา</t>
  </si>
  <si>
    <t>worrawat.ch</t>
  </si>
  <si>
    <t>นายอาทิตย์ แก่นดี</t>
  </si>
  <si>
    <t>arthit.ga</t>
  </si>
  <si>
    <t>นายจิติชัย ขำมา</t>
  </si>
  <si>
    <t>jittichai.kh</t>
  </si>
  <si>
    <t>นายสมนึก เหมือนทอง</t>
  </si>
  <si>
    <t>นายเอกวี บุปผาวาศ</t>
  </si>
  <si>
    <t>aekkavee.bu</t>
  </si>
  <si>
    <t>นายวิรุฬ รุ่งกาญจนศักดิ์</t>
  </si>
  <si>
    <t>wirun.ru</t>
  </si>
  <si>
    <t>นายสิทธินนท์ ดวงทิพย์</t>
  </si>
  <si>
    <t>sitthinon.du</t>
  </si>
  <si>
    <t>นายอาทร หวานฉ่ำ</t>
  </si>
  <si>
    <t>athorn.wa</t>
  </si>
  <si>
    <t>นายทิวากร พรหมมินทร์</t>
  </si>
  <si>
    <t>thivakon.po</t>
  </si>
  <si>
    <t>นายจักรกฤษณ์ สมมา</t>
  </si>
  <si>
    <t>jakkit.so</t>
  </si>
  <si>
    <t>นายภาคภูมิ ทองอินทร์</t>
  </si>
  <si>
    <t>pakphum.th</t>
  </si>
  <si>
    <t>นายณัฐวุฒิ หล่อประโคน</t>
  </si>
  <si>
    <t>nuttawut.lu</t>
  </si>
  <si>
    <t>นายชนพัฒน์ คนคม</t>
  </si>
  <si>
    <t>chonnapat.kh</t>
  </si>
  <si>
    <t>นายวรพล สบายตัว</t>
  </si>
  <si>
    <t>worapol.sa</t>
  </si>
  <si>
    <t>นายพิพัฒ พลอยเลิศ</t>
  </si>
  <si>
    <t>pipat.pl</t>
  </si>
  <si>
    <t>นายภราดา พรมสุข</t>
  </si>
  <si>
    <t>นายจิติ แซ่ลี้</t>
  </si>
  <si>
    <t>Jiti.sa</t>
  </si>
  <si>
    <t>นายไมตรี อู่หิรัญ</t>
  </si>
  <si>
    <t>maitree.uh</t>
  </si>
  <si>
    <t>นายสัตยา จิตเหลื่อม</t>
  </si>
  <si>
    <t>sattaya.db215</t>
  </si>
  <si>
    <t>นายปณชัย ราชากรกิจ</t>
  </si>
  <si>
    <t>pranachai.ro</t>
  </si>
  <si>
    <t>นายศักดินันท์ อามาตร์</t>
  </si>
  <si>
    <t>sakdinun.am</t>
  </si>
  <si>
    <t>นายศราวุธ พุ่มพวง</t>
  </si>
  <si>
    <t>sarawut.oo</t>
  </si>
  <si>
    <t>นายสุรศักดิ์ บัวรสศักดิ์</t>
  </si>
  <si>
    <t>surasak.bu</t>
  </si>
  <si>
    <t>นายจตุพงษ์ จันทรัตน์</t>
  </si>
  <si>
    <t>jatupong.ju</t>
  </si>
  <si>
    <t>นายพีรพล สุวรรณาเลิศ</t>
  </si>
  <si>
    <t>peerapol.su</t>
  </si>
  <si>
    <t>นายวสันต์ หริ่งฤกษ์</t>
  </si>
  <si>
    <t>wason.ri</t>
  </si>
  <si>
    <t>นายพีรวัฒน์ ภาควิชัยตระกูล</t>
  </si>
  <si>
    <t>peerawat.pa</t>
  </si>
  <si>
    <t>นายศิวกร ไม้เรียง</t>
  </si>
  <si>
    <t>sivakorn.ma</t>
  </si>
  <si>
    <t>REG10260EVD0003</t>
  </si>
  <si>
    <t>นายนรินทร์ กาเผือกงาม</t>
  </si>
  <si>
    <t>NARIN.KA</t>
  </si>
  <si>
    <t>นายทรงพล โตพงษ์</t>
  </si>
  <si>
    <t>songpol.to</t>
  </si>
  <si>
    <t>นายสมศักดิ์ ยะรังวงษ์</t>
  </si>
  <si>
    <t>somsak.ya</t>
  </si>
  <si>
    <t>นายธีรเดช โกยรัมย์</t>
  </si>
  <si>
    <t>teeradech.ko</t>
  </si>
  <si>
    <t>นายประกอบ สาระโท</t>
  </si>
  <si>
    <t>pagkorp.sa</t>
  </si>
  <si>
    <t>นายฌรงค์ ศรีเมืองเพีย</t>
  </si>
  <si>
    <t>narong.sr</t>
  </si>
  <si>
    <t>นายเอกชัย ก่ำพิมาย</t>
  </si>
  <si>
    <t>eakchai.ka</t>
  </si>
  <si>
    <t>นายเชิดศักดิ์ มะปรางศรี</t>
  </si>
  <si>
    <t>chertsak.ma</t>
  </si>
  <si>
    <t>น.ส.รสิมา ชมภูพฤกษ์</t>
  </si>
  <si>
    <t>rasima.ch</t>
  </si>
  <si>
    <t>นายฉัตรมงคล ไหวไว</t>
  </si>
  <si>
    <t>chatmongkhon.hw</t>
  </si>
  <si>
    <t>นายณัฐชัย ชูพิศาลวุฒิชัย</t>
  </si>
  <si>
    <t>nattachai.ch</t>
  </si>
  <si>
    <t>นายนพพร ชุติมาวรวงษา</t>
  </si>
  <si>
    <t>nopporn.ch</t>
  </si>
  <si>
    <t>นายเรืองศักดิ์ ลีดงบับ</t>
  </si>
  <si>
    <t>ruengsak.le</t>
  </si>
  <si>
    <t>นายศิริภูมิ อย่างสวย</t>
  </si>
  <si>
    <t>siriphum.ya</t>
  </si>
  <si>
    <t>นายกัณรวี มารอบี</t>
  </si>
  <si>
    <t>kunravee.ma</t>
  </si>
  <si>
    <t>นายจิรวัฒน์ เข็มอนุสุข</t>
  </si>
  <si>
    <t>jirawat.kh</t>
  </si>
  <si>
    <t>นายศิวกร บญชะโด</t>
  </si>
  <si>
    <t>siwakorn.bo</t>
  </si>
  <si>
    <t>นายกรณ์โชติ อนันต์ชัยวัตร</t>
  </si>
  <si>
    <t>konchot.an</t>
  </si>
  <si>
    <t>นายนณัฐพงษ์ โซ๊ะเฮง</t>
  </si>
  <si>
    <t>nattaphong.so</t>
  </si>
  <si>
    <t>นายกิติพงษ์ ทับคง</t>
  </si>
  <si>
    <t>kittipong.ta</t>
  </si>
  <si>
    <t>นายประเสริฐ จวงจันทร์</t>
  </si>
  <si>
    <t>prasert.jo</t>
  </si>
  <si>
    <t>นายบุญยเรศ สรรพาพร</t>
  </si>
  <si>
    <t>boonyares.su</t>
  </si>
  <si>
    <t>นายวรพล ครุฑกรานต์</t>
  </si>
  <si>
    <t>woraphol.kh</t>
  </si>
  <si>
    <t>นายนิทัศน์ สืบนุสนธิ์</t>
  </si>
  <si>
    <t>nitat.su</t>
  </si>
  <si>
    <t>นายศิลป์ชัย ภู่ศิลป์</t>
  </si>
  <si>
    <t>silchai.pu</t>
  </si>
  <si>
    <t>นายนิพนธ์ ร้ายสูงเนิน</t>
  </si>
  <si>
    <t>nipon.ra</t>
  </si>
  <si>
    <t>นายณัฐนนท์ ครุฑกรานต์</t>
  </si>
  <si>
    <t>nuttanan.kh</t>
  </si>
  <si>
    <t>นายวิชยุต พรเลิศ</t>
  </si>
  <si>
    <t>wichayout.po</t>
  </si>
  <si>
    <t>นายสัณฐิติ คลังทรัพย์</t>
  </si>
  <si>
    <t>sunthiti.kl</t>
  </si>
  <si>
    <t>น.ส.พชรพร ศิริโต</t>
  </si>
  <si>
    <t>pacharaporn.si</t>
  </si>
  <si>
    <t>นายวรเทพ กิจบุรี</t>
  </si>
  <si>
    <t>worathep.ki</t>
  </si>
  <si>
    <t>นายวีรศักดิ์ มอญกระโทก</t>
  </si>
  <si>
    <t>werasak.mo</t>
  </si>
  <si>
    <t>นายชาญณรงค์ ซ้ายหนองขาม</t>
  </si>
  <si>
    <t>channarong.sa</t>
  </si>
  <si>
    <t>นายวัชรพงษ์ สมศักดิ์</t>
  </si>
  <si>
    <t>watcharapong.so</t>
  </si>
  <si>
    <t>นายพัฒนชาติ สาระคุณ</t>
  </si>
  <si>
    <t>phattaanachat.sa</t>
  </si>
  <si>
    <t>นายเฉลิมขวัญ ขันทอง</t>
  </si>
  <si>
    <t>chalermkwan.kh</t>
  </si>
  <si>
    <t>EMS10260EVD0330</t>
  </si>
  <si>
    <t>นายพรชัย ชาวนา</t>
  </si>
  <si>
    <t>pornchai.ca</t>
  </si>
  <si>
    <t>นายศักดา โสภาวงค์</t>
  </si>
  <si>
    <t>saksda.so</t>
  </si>
  <si>
    <t>นายยุทธพงษ์ ไตรภิรมย์</t>
  </si>
  <si>
    <t>yuthapong.tr</t>
  </si>
  <si>
    <t>นางสาวกอรีอ๊ะ หะยีมามะ</t>
  </si>
  <si>
    <t>koreeaa.ha</t>
  </si>
  <si>
    <t>นายเจษฎากร กาเผือกงาม</t>
  </si>
  <si>
    <t>jedsadakorn.ka</t>
  </si>
  <si>
    <t>นายพงศกร ตรีพัฒน์</t>
  </si>
  <si>
    <t>pongsakorn.tr</t>
  </si>
  <si>
    <t>นายพีรพงษ์ ปัญญางาม</t>
  </si>
  <si>
    <t>phiraphong.pa</t>
  </si>
  <si>
    <t>ด้านจ่ายที่ 37</t>
  </si>
  <si>
    <t>นายทรงกรด เนตรระกาศ</t>
  </si>
  <si>
    <t>songkrod.na</t>
  </si>
  <si>
    <t>ด้านจ่ายที่ 38</t>
  </si>
  <si>
    <t>นายสุรศักดิ์ โสกุล</t>
  </si>
  <si>
    <t>surasak.sl</t>
  </si>
  <si>
    <t>ด้านจ่ายที่ 39</t>
  </si>
  <si>
    <t>ชาญณรงค์ เคียงประพันธ์</t>
  </si>
  <si>
    <t>channarong  kiengpraphan</t>
  </si>
  <si>
    <t>REG07260EVD0004</t>
  </si>
  <si>
    <t>นายประสิทธิ์ มาสะและ</t>
  </si>
  <si>
    <t>PRASIT.MA</t>
  </si>
  <si>
    <t>นายบุญมี คำผา</t>
  </si>
  <si>
    <t>boonmee.km</t>
  </si>
  <si>
    <t>จ.ส.อ.อัฏฐวัฒน์ รุจิเวชเกตุนที</t>
  </si>
  <si>
    <t>ATTAWAT.RU</t>
  </si>
  <si>
    <t>นายบุญกอง   คำบุญยอ</t>
  </si>
  <si>
    <t>boonkong.ck</t>
  </si>
  <si>
    <t>นายปรัชญ์ มินโด</t>
  </si>
  <si>
    <t>prach.mi</t>
  </si>
  <si>
    <t>นายศักร์สฤษฎิ์   แมนประโคน</t>
  </si>
  <si>
    <t>SAKSALIT.MA</t>
  </si>
  <si>
    <t>นายวีระ  นิลเนตร</t>
  </si>
  <si>
    <t>VEERA.NI</t>
  </si>
  <si>
    <t>นายปราโมทย์  กลมกลาง</t>
  </si>
  <si>
    <t>PRAMOTE.KL</t>
  </si>
  <si>
    <t>นายธนรัตน์  นิ่มฟัก</t>
  </si>
  <si>
    <t>tanarat.ni</t>
  </si>
  <si>
    <t>นายภูมินทร์   ศรีชนะชัย</t>
  </si>
  <si>
    <t>PHOOMIN.SR</t>
  </si>
  <si>
    <t>นายนัทธร  จำปานาค</t>
  </si>
  <si>
    <t>nuttorn.su</t>
  </si>
  <si>
    <t>นายแสงสุรี   ทาตะไชย</t>
  </si>
  <si>
    <t>SANGSUREE.TH</t>
  </si>
  <si>
    <t>นายสุเมธ   กุศลไพศาล</t>
  </si>
  <si>
    <t>SUMETH.KU</t>
  </si>
  <si>
    <t>นายณัฐกานต์   กิติคณากูล</t>
  </si>
  <si>
    <t>NATTAKAN.BO</t>
  </si>
  <si>
    <t>นายพฤทธิ์ นิยมไทย</t>
  </si>
  <si>
    <t>parit.ni</t>
  </si>
  <si>
    <t>นายวชิรพล   รักเจริญ</t>
  </si>
  <si>
    <t>WACHIRAPON.RU</t>
  </si>
  <si>
    <t>นายประทีป สีเขียว</t>
  </si>
  <si>
    <t>prathip.si</t>
  </si>
  <si>
    <t>น.ส.สุกัญญา   จันตา</t>
  </si>
  <si>
    <t>SUKANYA.CH</t>
  </si>
  <si>
    <t>นางสาวสมฤทัย พ่วงฉาย</t>
  </si>
  <si>
    <t>somruthai.po</t>
  </si>
  <si>
    <t>นายวรวุฒ นามจุงจัง</t>
  </si>
  <si>
    <t>worrawut.na</t>
  </si>
  <si>
    <t>นายสุนทร สาขนิน</t>
  </si>
  <si>
    <t>sunthorn.sa</t>
  </si>
  <si>
    <t>นายธนวิชญ์ ชาอุ่น</t>
  </si>
  <si>
    <t>thanawit.ch</t>
  </si>
  <si>
    <t>นายอิสรภาพ  กองค้า</t>
  </si>
  <si>
    <t>ISARAPAP.KO</t>
  </si>
  <si>
    <t>นายวงศ์ธวัช  ชำนาญ</t>
  </si>
  <si>
    <t>WONGTHAWAT.CH</t>
  </si>
  <si>
    <t>นายวิโรจน์   ผิวสังข์</t>
  </si>
  <si>
    <t>wirod.pe</t>
  </si>
  <si>
    <t>นางสาวณัชชา หมื่นเทพยัง</t>
  </si>
  <si>
    <t>natcha.ma</t>
  </si>
  <si>
    <t>นายทศพล   คล้ายมีปาน</t>
  </si>
  <si>
    <t>THODSAPOL.KL</t>
  </si>
  <si>
    <t>นายสุดใจ   แสนศรี</t>
  </si>
  <si>
    <t>SUDJAI.SE</t>
  </si>
  <si>
    <t>นายชาญยุทธ   วุฒิฉันท์</t>
  </si>
  <si>
    <t>CHANYUT.WO</t>
  </si>
  <si>
    <t xml:space="preserve">REG10260EVD0005 </t>
  </si>
  <si>
    <t>นายสุริยศักดิ์ ดาปาน</t>
  </si>
  <si>
    <t xml:space="preserve">Suriyasak.da </t>
  </si>
  <si>
    <t xml:space="preserve">นายสุริยศักดิ์ ดาปาน </t>
  </si>
  <si>
    <t>นายพุฒตาล ผาอุดร</t>
  </si>
  <si>
    <t>puttan.ph</t>
  </si>
  <si>
    <t>นายชวลิต พรหมวิจิตร</t>
  </si>
  <si>
    <t>chawarit.pr</t>
  </si>
  <si>
    <t>นายอนุพงศ์ เพิ่มมนตรี</t>
  </si>
  <si>
    <t>anupong.pe</t>
  </si>
  <si>
    <t>นายกฤษณะ นกชม</t>
  </si>
  <si>
    <t>kitsana.no</t>
  </si>
  <si>
    <t>นายไพศาล โพธิ์ทอง</t>
  </si>
  <si>
    <t>Phisan.db503</t>
  </si>
  <si>
    <t>นายกรณัฐ นรารัมย์</t>
  </si>
  <si>
    <t>kornnat.na</t>
  </si>
  <si>
    <t>นายวรรธนะ ทิมภราดร</t>
  </si>
  <si>
    <t>wantana.tm</t>
  </si>
  <si>
    <t>นายนิพนธ์ เวฬุวนารักษ์</t>
  </si>
  <si>
    <t>NIPON.VG</t>
  </si>
  <si>
    <t>นายภาคภูมิ หริ่งฤกษ์</t>
  </si>
  <si>
    <t>pakpoom.ri</t>
  </si>
  <si>
    <t>นายจาตุรนต์ บุญเขตร์</t>
  </si>
  <si>
    <t>jaturon.bu</t>
  </si>
  <si>
    <t>นายภูวดล หวังพิทักษ์</t>
  </si>
  <si>
    <t>phuwadon.wa</t>
  </si>
  <si>
    <t>นายปริวัตร ยิ้มเจริญ</t>
  </si>
  <si>
    <t>pariwat.yi</t>
  </si>
  <si>
    <t>นายธนโชติ เปลี่ยวศรี</t>
  </si>
  <si>
    <t>thanachot.pe</t>
  </si>
  <si>
    <t>นายพีระพล ประสงค์ผล</t>
  </si>
  <si>
    <t>peerapon.pr</t>
  </si>
  <si>
    <t>นายบพิตร แสนศรี</t>
  </si>
  <si>
    <t>bophit.sa</t>
  </si>
  <si>
    <t>นายสิวนาท กฤษณาวรรณกุล</t>
  </si>
  <si>
    <t>siwanath.kr</t>
  </si>
  <si>
    <t>นายสุพรหม วงศ์ภักดี</t>
  </si>
  <si>
    <t>Email</t>
  </si>
  <si>
    <t>Role</t>
  </si>
  <si>
    <t>Teerapop</t>
  </si>
  <si>
    <t>Teera3cha@gmail.com</t>
  </si>
  <si>
    <t>Admin</t>
  </si>
  <si>
    <t>Bangna Post</t>
  </si>
  <si>
    <t>Bangnapost17@gmail.com</t>
  </si>
  <si>
    <t>User</t>
  </si>
  <si>
    <t>Task ID</t>
  </si>
  <si>
    <t>Task Name</t>
  </si>
  <si>
    <t>Description</t>
  </si>
  <si>
    <t>Assignee</t>
  </si>
  <si>
    <t>Status</t>
  </si>
  <si>
    <t>Start Date</t>
  </si>
  <si>
    <t>Due Date</t>
  </si>
  <si>
    <t>Completion Date</t>
  </si>
  <si>
    <t>QR Code URL</t>
  </si>
  <si>
    <t>QR Code Status</t>
  </si>
  <si>
    <t>Created By</t>
  </si>
  <si>
    <t>Timestamp</t>
  </si>
  <si>
    <t>Log ID</t>
  </si>
  <si>
    <t>Old Status</t>
  </si>
  <si>
    <t>New Status</t>
  </si>
  <si>
    <t>Changed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</si>
</sst>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&quot;/&quot;m&quot;/&quot;yyyy&quot;, &quot;h&quot;:&quot;mm&quot;:&quot;ss"/>
    <numFmt numFmtId="165" formatCode="m/d/yyyy\ h:mm:ss"/>
  </numFmts>
  <fonts count="5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u/>
      <sz val="10"/>
      <color rgb="FF0000FF"/>
      <name val="Roboto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/>
    <xf numFmtId="165" fontId="2" fillId="0" borderId="0" xfId="0" applyNumberFormat="1" applyFont="1"/>
    <xf numFmtId="165" fontId="2" fillId="2" borderId="0" xfId="0" applyNumberFormat="1" applyFont="1" applyFill="1"/>
    <xf numFmtId="0" fontId="2" fillId="2" borderId="0" xfId="0" applyFont="1" applyFill="1"/>
    <xf numFmtId="0" fontId="4" fillId="0" borderId="0" xfId="0" applyFont="1"/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AREA_EMPLOYEE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ตาราง1" displayName="ตาราง1" ref="A1:G165">
  <tableColumns count="7">
    <tableColumn id="1" xr3:uid="{00000000-0010-0000-0000-000001000000}" name="ZONE_ID"/>
    <tableColumn id="2" xr3:uid="{00000000-0010-0000-0000-000002000000}" name="แผนก"/>
    <tableColumn id="3" xr3:uid="{00000000-0010-0000-0000-000003000000}" name="ZONE_TH"/>
    <tableColumn id="4" xr3:uid="{00000000-0010-0000-0000-000004000000}" name="NAME"/>
    <tableColumn id="5" xr3:uid="{00000000-0010-0000-0000-000005000000}" name="EMPLOYEE_ID"/>
    <tableColumn id="6" xr3:uid="{00000000-0010-0000-0000-000006000000}" name="CHIEF OFFICER"/>
    <tableColumn id="7" xr3:uid="{00000000-0010-0000-0000-000007000000}" name="DB HEAD"/>
  </tableColumns>
  <tableStyleInfo name="AREA_EMPLOYE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worrawat.ch/" TargetMode="External"/><Relationship Id="rId21" Type="http://schemas.openxmlformats.org/officeDocument/2006/relationships/hyperlink" Target="http://kaseamson.ki/" TargetMode="External"/><Relationship Id="rId42" Type="http://schemas.openxmlformats.org/officeDocument/2006/relationships/hyperlink" Target="http://songpol.to/" TargetMode="External"/><Relationship Id="rId47" Type="http://schemas.openxmlformats.org/officeDocument/2006/relationships/hyperlink" Target="http://nattachai.ch/" TargetMode="External"/><Relationship Id="rId63" Type="http://schemas.openxmlformats.org/officeDocument/2006/relationships/hyperlink" Target="http://pornchai.ca/" TargetMode="External"/><Relationship Id="rId68" Type="http://schemas.openxmlformats.org/officeDocument/2006/relationships/hyperlink" Target="http://songkrod.na/" TargetMode="External"/><Relationship Id="rId84" Type="http://schemas.openxmlformats.org/officeDocument/2006/relationships/hyperlink" Target="http://worrawut.na/" TargetMode="External"/><Relationship Id="rId89" Type="http://schemas.openxmlformats.org/officeDocument/2006/relationships/hyperlink" Target="http://natcha.ma/" TargetMode="External"/><Relationship Id="rId16" Type="http://schemas.openxmlformats.org/officeDocument/2006/relationships/hyperlink" Target="http://prakasit.nu/" TargetMode="External"/><Relationship Id="rId11" Type="http://schemas.openxmlformats.org/officeDocument/2006/relationships/hyperlink" Target="http://anusorn.bi/" TargetMode="External"/><Relationship Id="rId32" Type="http://schemas.openxmlformats.org/officeDocument/2006/relationships/hyperlink" Target="http://nuttawut.lu/" TargetMode="External"/><Relationship Id="rId37" Type="http://schemas.openxmlformats.org/officeDocument/2006/relationships/hyperlink" Target="http://jiti.sa/" TargetMode="External"/><Relationship Id="rId53" Type="http://schemas.openxmlformats.org/officeDocument/2006/relationships/hyperlink" Target="http://prasert.jo/" TargetMode="External"/><Relationship Id="rId58" Type="http://schemas.openxmlformats.org/officeDocument/2006/relationships/hyperlink" Target="http://werasak.mo/" TargetMode="External"/><Relationship Id="rId74" Type="http://schemas.openxmlformats.org/officeDocument/2006/relationships/hyperlink" Target="http://saksalit.ma/" TargetMode="External"/><Relationship Id="rId79" Type="http://schemas.openxmlformats.org/officeDocument/2006/relationships/hyperlink" Target="http://nattakan.bo/" TargetMode="External"/><Relationship Id="rId102" Type="http://schemas.openxmlformats.org/officeDocument/2006/relationships/table" Target="../tables/table1.xml"/><Relationship Id="rId5" Type="http://schemas.openxmlformats.org/officeDocument/2006/relationships/hyperlink" Target="http://thanakrit.bi/" TargetMode="External"/><Relationship Id="rId90" Type="http://schemas.openxmlformats.org/officeDocument/2006/relationships/hyperlink" Target="http://sudjai.se/" TargetMode="External"/><Relationship Id="rId95" Type="http://schemas.openxmlformats.org/officeDocument/2006/relationships/hyperlink" Target="http://kornnat.na/" TargetMode="External"/><Relationship Id="rId22" Type="http://schemas.openxmlformats.org/officeDocument/2006/relationships/hyperlink" Target="http://sarawoot.sa/" TargetMode="External"/><Relationship Id="rId27" Type="http://schemas.openxmlformats.org/officeDocument/2006/relationships/hyperlink" Target="http://arthit.ga/" TargetMode="External"/><Relationship Id="rId43" Type="http://schemas.openxmlformats.org/officeDocument/2006/relationships/hyperlink" Target="http://pagkorp.sa/" TargetMode="External"/><Relationship Id="rId48" Type="http://schemas.openxmlformats.org/officeDocument/2006/relationships/hyperlink" Target="http://nopporn.ch/" TargetMode="External"/><Relationship Id="rId64" Type="http://schemas.openxmlformats.org/officeDocument/2006/relationships/hyperlink" Target="http://saksda.so/" TargetMode="External"/><Relationship Id="rId69" Type="http://schemas.openxmlformats.org/officeDocument/2006/relationships/hyperlink" Target="http://surasak.sl/" TargetMode="External"/><Relationship Id="rId80" Type="http://schemas.openxmlformats.org/officeDocument/2006/relationships/hyperlink" Target="http://parit.ni/" TargetMode="External"/><Relationship Id="rId85" Type="http://schemas.openxmlformats.org/officeDocument/2006/relationships/hyperlink" Target="http://sunthorn.sa/" TargetMode="External"/><Relationship Id="rId12" Type="http://schemas.openxmlformats.org/officeDocument/2006/relationships/hyperlink" Target="http://tanawat.kw/" TargetMode="External"/><Relationship Id="rId17" Type="http://schemas.openxmlformats.org/officeDocument/2006/relationships/hyperlink" Target="http://attapon.so/" TargetMode="External"/><Relationship Id="rId25" Type="http://schemas.openxmlformats.org/officeDocument/2006/relationships/hyperlink" Target="http://suriya.cm/" TargetMode="External"/><Relationship Id="rId33" Type="http://schemas.openxmlformats.org/officeDocument/2006/relationships/hyperlink" Target="http://chonnapat.kh/" TargetMode="External"/><Relationship Id="rId38" Type="http://schemas.openxmlformats.org/officeDocument/2006/relationships/hyperlink" Target="http://pranachai.ro/" TargetMode="External"/><Relationship Id="rId46" Type="http://schemas.openxmlformats.org/officeDocument/2006/relationships/hyperlink" Target="http://rasima.ch/" TargetMode="External"/><Relationship Id="rId59" Type="http://schemas.openxmlformats.org/officeDocument/2006/relationships/hyperlink" Target="http://channarong.sa/" TargetMode="External"/><Relationship Id="rId67" Type="http://schemas.openxmlformats.org/officeDocument/2006/relationships/hyperlink" Target="http://phiraphong.pa/" TargetMode="External"/><Relationship Id="rId20" Type="http://schemas.openxmlformats.org/officeDocument/2006/relationships/hyperlink" Target="http://paladisay.ph/" TargetMode="External"/><Relationship Id="rId41" Type="http://schemas.openxmlformats.org/officeDocument/2006/relationships/hyperlink" Target="http://sivakorn.ma/" TargetMode="External"/><Relationship Id="rId54" Type="http://schemas.openxmlformats.org/officeDocument/2006/relationships/hyperlink" Target="http://woraphol.kh/" TargetMode="External"/><Relationship Id="rId62" Type="http://schemas.openxmlformats.org/officeDocument/2006/relationships/hyperlink" Target="http://chalermkwan.kh/" TargetMode="External"/><Relationship Id="rId70" Type="http://schemas.openxmlformats.org/officeDocument/2006/relationships/hyperlink" Target="http://prasit.ma/" TargetMode="External"/><Relationship Id="rId75" Type="http://schemas.openxmlformats.org/officeDocument/2006/relationships/hyperlink" Target="http://veera.ni/" TargetMode="External"/><Relationship Id="rId83" Type="http://schemas.openxmlformats.org/officeDocument/2006/relationships/hyperlink" Target="http://sukanya.ch/" TargetMode="External"/><Relationship Id="rId88" Type="http://schemas.openxmlformats.org/officeDocument/2006/relationships/hyperlink" Target="http://wirod.pe/" TargetMode="External"/><Relationship Id="rId91" Type="http://schemas.openxmlformats.org/officeDocument/2006/relationships/hyperlink" Target="http://puttan.ph/" TargetMode="External"/><Relationship Id="rId96" Type="http://schemas.openxmlformats.org/officeDocument/2006/relationships/hyperlink" Target="http://wantana.tm/" TargetMode="External"/><Relationship Id="rId1" Type="http://schemas.openxmlformats.org/officeDocument/2006/relationships/hyperlink" Target="http://wichian.sl/" TargetMode="External"/><Relationship Id="rId6" Type="http://schemas.openxmlformats.org/officeDocument/2006/relationships/hyperlink" Target="http://pairut.nu/" TargetMode="External"/><Relationship Id="rId15" Type="http://schemas.openxmlformats.org/officeDocument/2006/relationships/hyperlink" Target="http://chadcharin.th/" TargetMode="External"/><Relationship Id="rId23" Type="http://schemas.openxmlformats.org/officeDocument/2006/relationships/hyperlink" Target="http://thanakrit.sa/" TargetMode="External"/><Relationship Id="rId28" Type="http://schemas.openxmlformats.org/officeDocument/2006/relationships/hyperlink" Target="http://jittichai.kh/" TargetMode="External"/><Relationship Id="rId36" Type="http://schemas.openxmlformats.org/officeDocument/2006/relationships/hyperlink" Target="http://pipat.pl/" TargetMode="External"/><Relationship Id="rId49" Type="http://schemas.openxmlformats.org/officeDocument/2006/relationships/hyperlink" Target="http://kunravee.ma/" TargetMode="External"/><Relationship Id="rId57" Type="http://schemas.openxmlformats.org/officeDocument/2006/relationships/hyperlink" Target="http://worathep.ki/" TargetMode="External"/><Relationship Id="rId10" Type="http://schemas.openxmlformats.org/officeDocument/2006/relationships/hyperlink" Target="http://autsawin.pr/" TargetMode="External"/><Relationship Id="rId31" Type="http://schemas.openxmlformats.org/officeDocument/2006/relationships/hyperlink" Target="http://pakphum.th/" TargetMode="External"/><Relationship Id="rId44" Type="http://schemas.openxmlformats.org/officeDocument/2006/relationships/hyperlink" Target="http://narong.sr/" TargetMode="External"/><Relationship Id="rId52" Type="http://schemas.openxmlformats.org/officeDocument/2006/relationships/hyperlink" Target="http://nattaphong.so/" TargetMode="External"/><Relationship Id="rId60" Type="http://schemas.openxmlformats.org/officeDocument/2006/relationships/hyperlink" Target="http://watcharapong.so/" TargetMode="External"/><Relationship Id="rId65" Type="http://schemas.openxmlformats.org/officeDocument/2006/relationships/hyperlink" Target="http://yuthapong.tr/" TargetMode="External"/><Relationship Id="rId73" Type="http://schemas.openxmlformats.org/officeDocument/2006/relationships/hyperlink" Target="http://boonkong.ck/" TargetMode="External"/><Relationship Id="rId78" Type="http://schemas.openxmlformats.org/officeDocument/2006/relationships/hyperlink" Target="http://sangsuree.th/" TargetMode="External"/><Relationship Id="rId81" Type="http://schemas.openxmlformats.org/officeDocument/2006/relationships/hyperlink" Target="http://wachirapon.ru/" TargetMode="External"/><Relationship Id="rId86" Type="http://schemas.openxmlformats.org/officeDocument/2006/relationships/hyperlink" Target="http://thanawit.ch/" TargetMode="External"/><Relationship Id="rId94" Type="http://schemas.openxmlformats.org/officeDocument/2006/relationships/hyperlink" Target="http://kitsana.no/" TargetMode="External"/><Relationship Id="rId99" Type="http://schemas.openxmlformats.org/officeDocument/2006/relationships/hyperlink" Target="http://peerapon.pr/" TargetMode="External"/><Relationship Id="rId101" Type="http://schemas.openxmlformats.org/officeDocument/2006/relationships/hyperlink" Target="http://siwanath.kr/" TargetMode="External"/><Relationship Id="rId4" Type="http://schemas.openxmlformats.org/officeDocument/2006/relationships/hyperlink" Target="http://rungrot.pr/" TargetMode="External"/><Relationship Id="rId9" Type="http://schemas.openxmlformats.org/officeDocument/2006/relationships/hyperlink" Target="http://virawan.jo/" TargetMode="External"/><Relationship Id="rId13" Type="http://schemas.openxmlformats.org/officeDocument/2006/relationships/hyperlink" Target="http://akson.sr/" TargetMode="External"/><Relationship Id="rId18" Type="http://schemas.openxmlformats.org/officeDocument/2006/relationships/hyperlink" Target="http://atichat.pa/" TargetMode="External"/><Relationship Id="rId39" Type="http://schemas.openxmlformats.org/officeDocument/2006/relationships/hyperlink" Target="http://sakdinun.am/" TargetMode="External"/><Relationship Id="rId34" Type="http://schemas.openxmlformats.org/officeDocument/2006/relationships/hyperlink" Target="http://worapol.sa/" TargetMode="External"/><Relationship Id="rId50" Type="http://schemas.openxmlformats.org/officeDocument/2006/relationships/hyperlink" Target="http://jirawat.kh/" TargetMode="External"/><Relationship Id="rId55" Type="http://schemas.openxmlformats.org/officeDocument/2006/relationships/hyperlink" Target="http://nuttanan.kh/" TargetMode="External"/><Relationship Id="rId76" Type="http://schemas.openxmlformats.org/officeDocument/2006/relationships/hyperlink" Target="http://tanarat.ni/" TargetMode="External"/><Relationship Id="rId97" Type="http://schemas.openxmlformats.org/officeDocument/2006/relationships/hyperlink" Target="http://nipon.vg/" TargetMode="External"/><Relationship Id="rId7" Type="http://schemas.openxmlformats.org/officeDocument/2006/relationships/hyperlink" Target="http://waratep.ph/" TargetMode="External"/><Relationship Id="rId71" Type="http://schemas.openxmlformats.org/officeDocument/2006/relationships/hyperlink" Target="http://boonmee.km/" TargetMode="External"/><Relationship Id="rId92" Type="http://schemas.openxmlformats.org/officeDocument/2006/relationships/hyperlink" Target="http://chawarit.pr/" TargetMode="External"/><Relationship Id="rId2" Type="http://schemas.openxmlformats.org/officeDocument/2006/relationships/hyperlink" Target="http://tawee.kn/" TargetMode="External"/><Relationship Id="rId29" Type="http://schemas.openxmlformats.org/officeDocument/2006/relationships/hyperlink" Target="http://wirun.ru/" TargetMode="External"/><Relationship Id="rId24" Type="http://schemas.openxmlformats.org/officeDocument/2006/relationships/hyperlink" Target="http://phisut.ph/" TargetMode="External"/><Relationship Id="rId40" Type="http://schemas.openxmlformats.org/officeDocument/2006/relationships/hyperlink" Target="http://peerawat.pa/" TargetMode="External"/><Relationship Id="rId45" Type="http://schemas.openxmlformats.org/officeDocument/2006/relationships/hyperlink" Target="http://chertsak.ma/" TargetMode="External"/><Relationship Id="rId66" Type="http://schemas.openxmlformats.org/officeDocument/2006/relationships/hyperlink" Target="http://pongsakorn.tr/" TargetMode="External"/><Relationship Id="rId87" Type="http://schemas.openxmlformats.org/officeDocument/2006/relationships/hyperlink" Target="http://wongthawat.ch/" TargetMode="External"/><Relationship Id="rId61" Type="http://schemas.openxmlformats.org/officeDocument/2006/relationships/hyperlink" Target="http://phattaanachat.sa/" TargetMode="External"/><Relationship Id="rId82" Type="http://schemas.openxmlformats.org/officeDocument/2006/relationships/hyperlink" Target="http://prathip.si/" TargetMode="External"/><Relationship Id="rId19" Type="http://schemas.openxmlformats.org/officeDocument/2006/relationships/hyperlink" Target="http://thanathon.th/" TargetMode="External"/><Relationship Id="rId14" Type="http://schemas.openxmlformats.org/officeDocument/2006/relationships/hyperlink" Target="http://wiwat.cg/" TargetMode="External"/><Relationship Id="rId30" Type="http://schemas.openxmlformats.org/officeDocument/2006/relationships/hyperlink" Target="http://jakkit.so/" TargetMode="External"/><Relationship Id="rId35" Type="http://schemas.openxmlformats.org/officeDocument/2006/relationships/hyperlink" Target="http://pipat.pl/" TargetMode="External"/><Relationship Id="rId56" Type="http://schemas.openxmlformats.org/officeDocument/2006/relationships/hyperlink" Target="http://pacharaporn.si/" TargetMode="External"/><Relationship Id="rId77" Type="http://schemas.openxmlformats.org/officeDocument/2006/relationships/hyperlink" Target="http://phoomin.sr/" TargetMode="External"/><Relationship Id="rId100" Type="http://schemas.openxmlformats.org/officeDocument/2006/relationships/hyperlink" Target="http://bophit.sa/" TargetMode="External"/><Relationship Id="rId8" Type="http://schemas.openxmlformats.org/officeDocument/2006/relationships/hyperlink" Target="http://thapakorn.pa/" TargetMode="External"/><Relationship Id="rId51" Type="http://schemas.openxmlformats.org/officeDocument/2006/relationships/hyperlink" Target="http://siwakorn.bo/" TargetMode="External"/><Relationship Id="rId72" Type="http://schemas.openxmlformats.org/officeDocument/2006/relationships/hyperlink" Target="http://attawat.ru/" TargetMode="External"/><Relationship Id="rId93" Type="http://schemas.openxmlformats.org/officeDocument/2006/relationships/hyperlink" Target="http://anupong.pe/" TargetMode="External"/><Relationship Id="rId98" Type="http://schemas.openxmlformats.org/officeDocument/2006/relationships/hyperlink" Target="http://thanachot.pe/" TargetMode="External"/><Relationship Id="rId3" Type="http://schemas.openxmlformats.org/officeDocument/2006/relationships/hyperlink" Target="http://sukrasak.k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001"/>
  <sheetViews>
    <sheetView tabSelected="1" workbookViewId="0">
      <pane ySplit="1" topLeftCell="A2" activePane="bottomLeft" state="frozen"/>
      <selection pane="bottomLeft"/>
    </sheetView>
  </sheetViews>
  <sheetFormatPr defaultColWidth="12.5703125" defaultRowHeight="15" customHeight="1" x14ac:dyDescent="0.2"/>
  <cols>
    <col min="1" max="1" width="17.5703125" customWidth="1"/>
    <col min="2" max="2" width="13.28515625" customWidth="1"/>
    <col min="3" max="3" width="23.42578125" customWidth="1"/>
    <col min="4" max="4" width="21.140625" customWidth="1"/>
    <col min="5" max="5" width="20.85546875" customWidth="1"/>
    <col min="6" max="6" width="20.5703125" customWidth="1"/>
    <col min="7" max="7" width="15.7109375" customWidth="1"/>
  </cols>
  <sheetData>
    <row r="1" spans="1:27" ht="15.75" customHeight="1" x14ac:dyDescent="0.2">
      <c r="A1" s="2" t="s">
        <v>1</v>
      </c>
      <c r="B1" s="2" t="s">
        <v>0</v>
      </c>
      <c r="C1" s="2" t="s">
        <v>169</v>
      </c>
      <c r="D1" s="2" t="s">
        <v>170</v>
      </c>
      <c r="E1" s="2" t="s">
        <v>171</v>
      </c>
      <c r="F1" s="2" t="s">
        <v>172</v>
      </c>
      <c r="G1" s="2" t="s">
        <v>173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5.75" customHeight="1" x14ac:dyDescent="0.2">
      <c r="A2" s="4" t="s">
        <v>106</v>
      </c>
      <c r="B2" s="4" t="s">
        <v>5</v>
      </c>
      <c r="C2" s="4" t="s">
        <v>174</v>
      </c>
      <c r="D2" s="4" t="s">
        <v>175</v>
      </c>
      <c r="E2" s="5" t="s">
        <v>176</v>
      </c>
      <c r="F2" s="4" t="s">
        <v>175</v>
      </c>
      <c r="G2" s="4" t="s">
        <v>175</v>
      </c>
    </row>
    <row r="3" spans="1:27" ht="15.75" customHeight="1" x14ac:dyDescent="0.2">
      <c r="A3" s="4" t="s">
        <v>99</v>
      </c>
      <c r="B3" s="4" t="s">
        <v>5</v>
      </c>
      <c r="C3" s="4" t="s">
        <v>177</v>
      </c>
      <c r="D3" s="4" t="s">
        <v>178</v>
      </c>
      <c r="E3" s="4" t="s">
        <v>179</v>
      </c>
      <c r="F3" s="4" t="s">
        <v>178</v>
      </c>
      <c r="G3" s="4" t="s">
        <v>175</v>
      </c>
    </row>
    <row r="4" spans="1:27" ht="15.75" customHeight="1" x14ac:dyDescent="0.2">
      <c r="A4" s="4" t="s">
        <v>16</v>
      </c>
      <c r="B4" s="4" t="s">
        <v>5</v>
      </c>
      <c r="C4" s="4" t="s">
        <v>180</v>
      </c>
      <c r="D4" s="4" t="s">
        <v>181</v>
      </c>
      <c r="E4" s="5" t="s">
        <v>182</v>
      </c>
      <c r="F4" s="4" t="s">
        <v>181</v>
      </c>
      <c r="G4" s="4" t="s">
        <v>175</v>
      </c>
    </row>
    <row r="5" spans="1:27" ht="15.75" customHeight="1" x14ac:dyDescent="0.2">
      <c r="A5" s="4" t="s">
        <v>46</v>
      </c>
      <c r="B5" s="4" t="s">
        <v>5</v>
      </c>
      <c r="C5" s="4" t="s">
        <v>183</v>
      </c>
      <c r="D5" s="4" t="s">
        <v>184</v>
      </c>
      <c r="E5" s="4" t="s">
        <v>185</v>
      </c>
      <c r="F5" s="4" t="s">
        <v>184</v>
      </c>
      <c r="G5" s="4" t="s">
        <v>175</v>
      </c>
    </row>
    <row r="6" spans="1:27" ht="15.75" customHeight="1" x14ac:dyDescent="0.2">
      <c r="A6" s="4" t="s">
        <v>65</v>
      </c>
      <c r="B6" s="4" t="s">
        <v>5</v>
      </c>
      <c r="C6" s="4" t="s">
        <v>186</v>
      </c>
      <c r="D6" s="4" t="s">
        <v>187</v>
      </c>
      <c r="E6" s="5" t="s">
        <v>188</v>
      </c>
      <c r="F6" s="4" t="s">
        <v>187</v>
      </c>
      <c r="G6" s="4" t="s">
        <v>175</v>
      </c>
    </row>
    <row r="7" spans="1:27" ht="15.75" customHeight="1" x14ac:dyDescent="0.2">
      <c r="A7" s="4" t="s">
        <v>44</v>
      </c>
      <c r="B7" s="4" t="s">
        <v>5</v>
      </c>
      <c r="C7" s="4" t="s">
        <v>189</v>
      </c>
      <c r="D7" s="4" t="s">
        <v>190</v>
      </c>
      <c r="E7" s="5" t="s">
        <v>103</v>
      </c>
      <c r="F7" s="4" t="s">
        <v>190</v>
      </c>
      <c r="G7" s="4" t="s">
        <v>175</v>
      </c>
    </row>
    <row r="8" spans="1:27" ht="15.75" customHeight="1" x14ac:dyDescent="0.2">
      <c r="A8" s="4" t="s">
        <v>80</v>
      </c>
      <c r="B8" s="4" t="s">
        <v>5</v>
      </c>
      <c r="C8" s="4" t="s">
        <v>191</v>
      </c>
      <c r="D8" s="4" t="s">
        <v>192</v>
      </c>
      <c r="E8" s="5" t="s">
        <v>193</v>
      </c>
      <c r="F8" s="4" t="s">
        <v>192</v>
      </c>
      <c r="G8" s="4" t="s">
        <v>175</v>
      </c>
    </row>
    <row r="9" spans="1:27" ht="15.75" customHeight="1" x14ac:dyDescent="0.2">
      <c r="A9" s="4" t="s">
        <v>56</v>
      </c>
      <c r="B9" s="4" t="s">
        <v>5</v>
      </c>
      <c r="C9" s="4" t="s">
        <v>194</v>
      </c>
      <c r="D9" s="4" t="s">
        <v>195</v>
      </c>
      <c r="E9" s="5" t="s">
        <v>196</v>
      </c>
      <c r="F9" s="4" t="s">
        <v>178</v>
      </c>
      <c r="G9" s="4" t="s">
        <v>175</v>
      </c>
    </row>
    <row r="10" spans="1:27" ht="15.75" customHeight="1" x14ac:dyDescent="0.2">
      <c r="A10" s="4" t="s">
        <v>36</v>
      </c>
      <c r="B10" s="4" t="s">
        <v>5</v>
      </c>
      <c r="C10" s="4" t="s">
        <v>197</v>
      </c>
      <c r="D10" s="4" t="s">
        <v>198</v>
      </c>
      <c r="E10" s="4" t="s">
        <v>199</v>
      </c>
      <c r="F10" s="4" t="s">
        <v>178</v>
      </c>
      <c r="G10" s="4" t="s">
        <v>175</v>
      </c>
    </row>
    <row r="11" spans="1:27" ht="15.75" customHeight="1" x14ac:dyDescent="0.2">
      <c r="A11" s="4" t="s">
        <v>63</v>
      </c>
      <c r="B11" s="4" t="s">
        <v>5</v>
      </c>
      <c r="C11" s="4" t="s">
        <v>200</v>
      </c>
      <c r="D11" s="4" t="s">
        <v>201</v>
      </c>
      <c r="E11" s="5" t="s">
        <v>202</v>
      </c>
      <c r="F11" s="4" t="s">
        <v>178</v>
      </c>
      <c r="G11" s="4" t="s">
        <v>175</v>
      </c>
    </row>
    <row r="12" spans="1:27" ht="15.75" customHeight="1" x14ac:dyDescent="0.2">
      <c r="A12" s="4" t="s">
        <v>94</v>
      </c>
      <c r="B12" s="4" t="s">
        <v>5</v>
      </c>
      <c r="C12" s="4" t="s">
        <v>203</v>
      </c>
      <c r="D12" s="4" t="s">
        <v>204</v>
      </c>
      <c r="E12" s="5" t="s">
        <v>205</v>
      </c>
      <c r="F12" s="4" t="s">
        <v>178</v>
      </c>
      <c r="G12" s="4" t="s">
        <v>175</v>
      </c>
    </row>
    <row r="13" spans="1:27" ht="15.75" customHeight="1" x14ac:dyDescent="0.2">
      <c r="A13" s="4" t="s">
        <v>67</v>
      </c>
      <c r="B13" s="4" t="s">
        <v>5</v>
      </c>
      <c r="C13" s="4" t="s">
        <v>206</v>
      </c>
      <c r="D13" s="4" t="s">
        <v>207</v>
      </c>
      <c r="E13" s="4" t="s">
        <v>208</v>
      </c>
      <c r="F13" s="4" t="s">
        <v>178</v>
      </c>
      <c r="G13" s="4" t="s">
        <v>175</v>
      </c>
    </row>
    <row r="14" spans="1:27" ht="15.75" customHeight="1" x14ac:dyDescent="0.2">
      <c r="A14" s="4" t="s">
        <v>22</v>
      </c>
      <c r="B14" s="4" t="s">
        <v>5</v>
      </c>
      <c r="C14" s="4" t="s">
        <v>209</v>
      </c>
      <c r="D14" s="4" t="s">
        <v>210</v>
      </c>
      <c r="E14" s="5" t="s">
        <v>211</v>
      </c>
      <c r="F14" s="4" t="s">
        <v>178</v>
      </c>
      <c r="G14" s="4" t="s">
        <v>175</v>
      </c>
    </row>
    <row r="15" spans="1:27" ht="15.75" customHeight="1" x14ac:dyDescent="0.2">
      <c r="A15" s="4" t="s">
        <v>51</v>
      </c>
      <c r="B15" s="4" t="s">
        <v>5</v>
      </c>
      <c r="C15" s="4" t="s">
        <v>212</v>
      </c>
      <c r="D15" s="4" t="s">
        <v>213</v>
      </c>
      <c r="E15" s="5" t="s">
        <v>214</v>
      </c>
      <c r="F15" s="4" t="s">
        <v>181</v>
      </c>
      <c r="G15" s="4" t="s">
        <v>175</v>
      </c>
    </row>
    <row r="16" spans="1:27" ht="15.75" customHeight="1" x14ac:dyDescent="0.2">
      <c r="A16" s="4" t="s">
        <v>29</v>
      </c>
      <c r="B16" s="4" t="s">
        <v>5</v>
      </c>
      <c r="C16" s="4" t="s">
        <v>215</v>
      </c>
      <c r="D16" s="4" t="s">
        <v>216</v>
      </c>
      <c r="E16" s="5" t="s">
        <v>217</v>
      </c>
      <c r="F16" s="4" t="s">
        <v>181</v>
      </c>
      <c r="G16" s="4" t="s">
        <v>175</v>
      </c>
    </row>
    <row r="17" spans="1:7" ht="15.75" customHeight="1" x14ac:dyDescent="0.2">
      <c r="A17" s="4" t="s">
        <v>93</v>
      </c>
      <c r="B17" s="4" t="s">
        <v>5</v>
      </c>
      <c r="C17" s="4" t="s">
        <v>218</v>
      </c>
      <c r="D17" s="4" t="s">
        <v>219</v>
      </c>
      <c r="E17" s="5" t="s">
        <v>220</v>
      </c>
      <c r="F17" s="4" t="s">
        <v>181</v>
      </c>
      <c r="G17" s="4" t="s">
        <v>175</v>
      </c>
    </row>
    <row r="18" spans="1:7" ht="15.75" customHeight="1" x14ac:dyDescent="0.2">
      <c r="A18" s="4" t="s">
        <v>90</v>
      </c>
      <c r="B18" s="4" t="s">
        <v>5</v>
      </c>
      <c r="C18" s="4" t="s">
        <v>221</v>
      </c>
      <c r="D18" s="4" t="s">
        <v>222</v>
      </c>
      <c r="E18" s="5" t="s">
        <v>223</v>
      </c>
      <c r="F18" s="4" t="s">
        <v>181</v>
      </c>
      <c r="G18" s="4" t="s">
        <v>175</v>
      </c>
    </row>
    <row r="19" spans="1:7" ht="15.75" customHeight="1" x14ac:dyDescent="0.2">
      <c r="A19" s="4" t="s">
        <v>57</v>
      </c>
      <c r="B19" s="4" t="s">
        <v>5</v>
      </c>
      <c r="C19" s="4" t="s">
        <v>224</v>
      </c>
      <c r="D19" s="4" t="s">
        <v>225</v>
      </c>
      <c r="E19" s="4" t="s">
        <v>226</v>
      </c>
      <c r="F19" s="4" t="s">
        <v>181</v>
      </c>
      <c r="G19" s="4" t="s">
        <v>175</v>
      </c>
    </row>
    <row r="20" spans="1:7" ht="15.75" customHeight="1" x14ac:dyDescent="0.2">
      <c r="A20" s="4" t="s">
        <v>40</v>
      </c>
      <c r="B20" s="4" t="s">
        <v>5</v>
      </c>
      <c r="C20" s="4" t="s">
        <v>227</v>
      </c>
      <c r="D20" s="4" t="s">
        <v>228</v>
      </c>
      <c r="E20" s="4" t="s">
        <v>229</v>
      </c>
      <c r="F20" s="4" t="s">
        <v>181</v>
      </c>
      <c r="G20" s="4" t="s">
        <v>175</v>
      </c>
    </row>
    <row r="21" spans="1:7" ht="15.75" customHeight="1" x14ac:dyDescent="0.2">
      <c r="A21" s="4" t="s">
        <v>68</v>
      </c>
      <c r="B21" s="4" t="s">
        <v>5</v>
      </c>
      <c r="C21" s="4" t="s">
        <v>230</v>
      </c>
      <c r="D21" s="4" t="s">
        <v>231</v>
      </c>
      <c r="E21" s="5" t="s">
        <v>232</v>
      </c>
      <c r="F21" s="4" t="s">
        <v>184</v>
      </c>
      <c r="G21" s="4" t="s">
        <v>175</v>
      </c>
    </row>
    <row r="22" spans="1:7" ht="15.75" customHeight="1" x14ac:dyDescent="0.2">
      <c r="A22" s="4" t="s">
        <v>77</v>
      </c>
      <c r="B22" s="4" t="s">
        <v>5</v>
      </c>
      <c r="C22" s="4" t="s">
        <v>233</v>
      </c>
      <c r="D22" s="4" t="s">
        <v>234</v>
      </c>
      <c r="E22" s="5" t="s">
        <v>235</v>
      </c>
      <c r="F22" s="4" t="s">
        <v>184</v>
      </c>
      <c r="G22" s="4" t="s">
        <v>175</v>
      </c>
    </row>
    <row r="23" spans="1:7" ht="15.75" customHeight="1" x14ac:dyDescent="0.2">
      <c r="A23" s="4" t="s">
        <v>88</v>
      </c>
      <c r="B23" s="4" t="s">
        <v>5</v>
      </c>
      <c r="C23" s="4" t="s">
        <v>236</v>
      </c>
      <c r="D23" s="4" t="s">
        <v>237</v>
      </c>
      <c r="E23" s="5" t="s">
        <v>238</v>
      </c>
      <c r="F23" s="4" t="s">
        <v>184</v>
      </c>
      <c r="G23" s="4" t="s">
        <v>175</v>
      </c>
    </row>
    <row r="24" spans="1:7" ht="15.75" customHeight="1" x14ac:dyDescent="0.2">
      <c r="A24" s="4" t="s">
        <v>78</v>
      </c>
      <c r="B24" s="4" t="s">
        <v>5</v>
      </c>
      <c r="C24" s="4" t="s">
        <v>239</v>
      </c>
      <c r="D24" s="4" t="s">
        <v>240</v>
      </c>
      <c r="E24" s="5" t="s">
        <v>241</v>
      </c>
      <c r="F24" s="4" t="s">
        <v>184</v>
      </c>
      <c r="G24" s="4" t="s">
        <v>175</v>
      </c>
    </row>
    <row r="25" spans="1:7" ht="15.75" customHeight="1" x14ac:dyDescent="0.2">
      <c r="A25" s="4" t="s">
        <v>64</v>
      </c>
      <c r="B25" s="4" t="s">
        <v>5</v>
      </c>
      <c r="C25" s="4" t="s">
        <v>242</v>
      </c>
      <c r="D25" s="4" t="s">
        <v>243</v>
      </c>
      <c r="E25" s="4" t="s">
        <v>244</v>
      </c>
      <c r="F25" s="4" t="s">
        <v>184</v>
      </c>
      <c r="G25" s="4" t="s">
        <v>175</v>
      </c>
    </row>
    <row r="26" spans="1:7" ht="15.75" customHeight="1" x14ac:dyDescent="0.2">
      <c r="A26" s="4" t="s">
        <v>87</v>
      </c>
      <c r="B26" s="4" t="s">
        <v>5</v>
      </c>
      <c r="C26" s="4" t="s">
        <v>245</v>
      </c>
      <c r="D26" s="4" t="s">
        <v>246</v>
      </c>
      <c r="E26" s="4" t="s">
        <v>247</v>
      </c>
      <c r="F26" s="4" t="s">
        <v>184</v>
      </c>
      <c r="G26" s="4" t="s">
        <v>175</v>
      </c>
    </row>
    <row r="27" spans="1:7" ht="15.75" customHeight="1" x14ac:dyDescent="0.2">
      <c r="A27" s="4" t="s">
        <v>9</v>
      </c>
      <c r="B27" s="4" t="s">
        <v>5</v>
      </c>
      <c r="C27" s="4" t="s">
        <v>248</v>
      </c>
      <c r="D27" s="4" t="s">
        <v>249</v>
      </c>
      <c r="E27" s="5" t="s">
        <v>250</v>
      </c>
      <c r="F27" s="4" t="s">
        <v>187</v>
      </c>
      <c r="G27" s="4" t="s">
        <v>175</v>
      </c>
    </row>
    <row r="28" spans="1:7" ht="15.75" customHeight="1" x14ac:dyDescent="0.2">
      <c r="A28" s="4" t="s">
        <v>62</v>
      </c>
      <c r="B28" s="4" t="s">
        <v>5</v>
      </c>
      <c r="C28" s="4" t="s">
        <v>251</v>
      </c>
      <c r="D28" s="4" t="s">
        <v>252</v>
      </c>
      <c r="E28" s="5" t="s">
        <v>253</v>
      </c>
      <c r="F28" s="4" t="s">
        <v>187</v>
      </c>
      <c r="G28" s="4" t="s">
        <v>175</v>
      </c>
    </row>
    <row r="29" spans="1:7" ht="15.75" customHeight="1" x14ac:dyDescent="0.2">
      <c r="A29" s="4" t="s">
        <v>76</v>
      </c>
      <c r="B29" s="4" t="s">
        <v>5</v>
      </c>
      <c r="C29" s="4" t="s">
        <v>254</v>
      </c>
      <c r="D29" s="4" t="s">
        <v>255</v>
      </c>
      <c r="E29" s="5" t="s">
        <v>256</v>
      </c>
      <c r="F29" s="4" t="s">
        <v>187</v>
      </c>
      <c r="G29" s="4" t="s">
        <v>175</v>
      </c>
    </row>
    <row r="30" spans="1:7" ht="15.75" customHeight="1" x14ac:dyDescent="0.2">
      <c r="A30" s="4" t="s">
        <v>27</v>
      </c>
      <c r="B30" s="4" t="s">
        <v>5</v>
      </c>
      <c r="C30" s="4" t="s">
        <v>257</v>
      </c>
      <c r="D30" s="4" t="s">
        <v>258</v>
      </c>
      <c r="E30" s="4" t="s">
        <v>259</v>
      </c>
      <c r="F30" s="4" t="s">
        <v>187</v>
      </c>
      <c r="G30" s="4" t="s">
        <v>175</v>
      </c>
    </row>
    <row r="31" spans="1:7" ht="15.75" customHeight="1" x14ac:dyDescent="0.2">
      <c r="A31" s="4" t="s">
        <v>6</v>
      </c>
      <c r="B31" s="4" t="s">
        <v>5</v>
      </c>
      <c r="C31" s="4" t="s">
        <v>260</v>
      </c>
      <c r="D31" s="4" t="s">
        <v>261</v>
      </c>
      <c r="E31" s="4" t="s">
        <v>262</v>
      </c>
      <c r="F31" s="4" t="s">
        <v>187</v>
      </c>
      <c r="G31" s="4" t="s">
        <v>175</v>
      </c>
    </row>
    <row r="32" spans="1:7" ht="15.75" customHeight="1" x14ac:dyDescent="0.2">
      <c r="A32" s="4" t="s">
        <v>86</v>
      </c>
      <c r="B32" s="4" t="s">
        <v>5</v>
      </c>
      <c r="C32" s="4" t="s">
        <v>263</v>
      </c>
      <c r="D32" s="4" t="s">
        <v>264</v>
      </c>
      <c r="E32" s="4" t="s">
        <v>265</v>
      </c>
      <c r="F32" s="4" t="s">
        <v>187</v>
      </c>
      <c r="G32" s="4" t="s">
        <v>175</v>
      </c>
    </row>
    <row r="33" spans="1:7" ht="15.75" customHeight="1" x14ac:dyDescent="0.2">
      <c r="A33" s="4" t="s">
        <v>48</v>
      </c>
      <c r="B33" s="4" t="s">
        <v>5</v>
      </c>
      <c r="C33" s="4" t="s">
        <v>266</v>
      </c>
      <c r="D33" s="4" t="s">
        <v>267</v>
      </c>
      <c r="E33" s="4" t="s">
        <v>268</v>
      </c>
      <c r="F33" s="4" t="s">
        <v>190</v>
      </c>
      <c r="G33" s="4" t="s">
        <v>175</v>
      </c>
    </row>
    <row r="34" spans="1:7" ht="15.75" customHeight="1" x14ac:dyDescent="0.2">
      <c r="A34" s="4" t="s">
        <v>30</v>
      </c>
      <c r="B34" s="4" t="s">
        <v>5</v>
      </c>
      <c r="C34" s="4" t="s">
        <v>269</v>
      </c>
      <c r="D34" s="4" t="s">
        <v>270</v>
      </c>
      <c r="E34" s="4" t="s">
        <v>271</v>
      </c>
      <c r="F34" s="4" t="s">
        <v>190</v>
      </c>
      <c r="G34" s="4" t="s">
        <v>175</v>
      </c>
    </row>
    <row r="35" spans="1:7" ht="15.75" customHeight="1" x14ac:dyDescent="0.2">
      <c r="A35" s="4" t="s">
        <v>55</v>
      </c>
      <c r="B35" s="4" t="s">
        <v>5</v>
      </c>
      <c r="C35" s="4" t="s">
        <v>272</v>
      </c>
      <c r="D35" s="4" t="s">
        <v>273</v>
      </c>
      <c r="E35" s="4" t="s">
        <v>274</v>
      </c>
      <c r="F35" s="4" t="s">
        <v>190</v>
      </c>
      <c r="G35" s="4" t="s">
        <v>175</v>
      </c>
    </row>
    <row r="36" spans="1:7" ht="15.75" customHeight="1" x14ac:dyDescent="0.2">
      <c r="A36" s="4" t="s">
        <v>17</v>
      </c>
      <c r="B36" s="4" t="s">
        <v>5</v>
      </c>
      <c r="C36" s="4" t="s">
        <v>275</v>
      </c>
      <c r="D36" s="4" t="s">
        <v>276</v>
      </c>
      <c r="E36" s="4" t="s">
        <v>277</v>
      </c>
      <c r="F36" s="4" t="s">
        <v>190</v>
      </c>
      <c r="G36" s="4" t="s">
        <v>175</v>
      </c>
    </row>
    <row r="37" spans="1:7" ht="15.75" customHeight="1" x14ac:dyDescent="0.2">
      <c r="A37" s="4" t="s">
        <v>91</v>
      </c>
      <c r="B37" s="4" t="s">
        <v>5</v>
      </c>
      <c r="C37" s="4" t="s">
        <v>278</v>
      </c>
      <c r="D37" s="4" t="s">
        <v>279</v>
      </c>
      <c r="E37" s="5" t="s">
        <v>280</v>
      </c>
      <c r="F37" s="4" t="s">
        <v>190</v>
      </c>
      <c r="G37" s="4" t="s">
        <v>175</v>
      </c>
    </row>
    <row r="38" spans="1:7" ht="15.75" customHeight="1" x14ac:dyDescent="0.2">
      <c r="A38" s="4" t="s">
        <v>50</v>
      </c>
      <c r="B38" s="4" t="s">
        <v>5</v>
      </c>
      <c r="C38" s="4" t="s">
        <v>281</v>
      </c>
      <c r="D38" s="4" t="s">
        <v>282</v>
      </c>
      <c r="E38" s="4" t="s">
        <v>283</v>
      </c>
      <c r="F38" s="4" t="s">
        <v>190</v>
      </c>
      <c r="G38" s="4" t="s">
        <v>175</v>
      </c>
    </row>
    <row r="39" spans="1:7" ht="15.75" customHeight="1" x14ac:dyDescent="0.2">
      <c r="A39" s="4" t="s">
        <v>37</v>
      </c>
      <c r="B39" s="4" t="s">
        <v>5</v>
      </c>
      <c r="C39" s="4" t="s">
        <v>284</v>
      </c>
      <c r="D39" s="4" t="s">
        <v>285</v>
      </c>
      <c r="E39" s="5" t="s">
        <v>286</v>
      </c>
      <c r="F39" s="4" t="s">
        <v>192</v>
      </c>
      <c r="G39" s="4" t="s">
        <v>175</v>
      </c>
    </row>
    <row r="40" spans="1:7" ht="15.75" customHeight="1" x14ac:dyDescent="0.2">
      <c r="A40" s="4" t="s">
        <v>53</v>
      </c>
      <c r="B40" s="4" t="s">
        <v>5</v>
      </c>
      <c r="C40" s="4" t="s">
        <v>287</v>
      </c>
      <c r="D40" s="4" t="s">
        <v>288</v>
      </c>
      <c r="E40" s="4" t="s">
        <v>289</v>
      </c>
      <c r="F40" s="4" t="s">
        <v>192</v>
      </c>
      <c r="G40" s="4" t="s">
        <v>175</v>
      </c>
    </row>
    <row r="41" spans="1:7" ht="15.75" customHeight="1" x14ac:dyDescent="0.2">
      <c r="A41" s="4" t="s">
        <v>26</v>
      </c>
      <c r="B41" s="4" t="s">
        <v>5</v>
      </c>
      <c r="C41" s="4" t="s">
        <v>290</v>
      </c>
      <c r="D41" s="4" t="s">
        <v>291</v>
      </c>
      <c r="E41" s="5" t="s">
        <v>292</v>
      </c>
      <c r="F41" s="4" t="s">
        <v>192</v>
      </c>
      <c r="G41" s="4" t="s">
        <v>175</v>
      </c>
    </row>
    <row r="42" spans="1:7" ht="15.75" customHeight="1" x14ac:dyDescent="0.2">
      <c r="A42" s="4" t="s">
        <v>79</v>
      </c>
      <c r="B42" s="4" t="s">
        <v>5</v>
      </c>
      <c r="C42" s="4" t="s">
        <v>293</v>
      </c>
      <c r="D42" s="4" t="s">
        <v>294</v>
      </c>
      <c r="E42" s="4" t="s">
        <v>295</v>
      </c>
      <c r="F42" s="4" t="s">
        <v>192</v>
      </c>
      <c r="G42" s="4" t="s">
        <v>175</v>
      </c>
    </row>
    <row r="43" spans="1:7" ht="15.75" customHeight="1" x14ac:dyDescent="0.2">
      <c r="A43" s="4" t="s">
        <v>83</v>
      </c>
      <c r="B43" s="4" t="s">
        <v>5</v>
      </c>
      <c r="C43" s="4" t="s">
        <v>296</v>
      </c>
      <c r="D43" s="4" t="s">
        <v>297</v>
      </c>
      <c r="E43" s="5" t="s">
        <v>298</v>
      </c>
      <c r="F43" s="4" t="s">
        <v>192</v>
      </c>
      <c r="G43" s="4" t="s">
        <v>175</v>
      </c>
    </row>
    <row r="44" spans="1:7" ht="15.75" customHeight="1" x14ac:dyDescent="0.2">
      <c r="A44" s="4" t="s">
        <v>10</v>
      </c>
      <c r="B44" s="4" t="s">
        <v>5</v>
      </c>
      <c r="C44" s="4" t="s">
        <v>299</v>
      </c>
      <c r="D44" s="4" t="s">
        <v>300</v>
      </c>
      <c r="E44" s="5" t="s">
        <v>301</v>
      </c>
      <c r="F44" s="4" t="s">
        <v>192</v>
      </c>
      <c r="G44" s="4" t="s">
        <v>175</v>
      </c>
    </row>
    <row r="45" spans="1:7" ht="15.75" customHeight="1" x14ac:dyDescent="0.2">
      <c r="A45" s="4" t="s">
        <v>302</v>
      </c>
      <c r="B45" s="4" t="s">
        <v>7</v>
      </c>
      <c r="C45" s="4" t="s">
        <v>174</v>
      </c>
      <c r="D45" s="4" t="s">
        <v>303</v>
      </c>
      <c r="E45" s="4" t="s">
        <v>96</v>
      </c>
      <c r="F45" s="4" t="s">
        <v>303</v>
      </c>
      <c r="G45" s="4" t="s">
        <v>303</v>
      </c>
    </row>
    <row r="46" spans="1:7" ht="15.75" customHeight="1" x14ac:dyDescent="0.2">
      <c r="A46" s="4" t="s">
        <v>105</v>
      </c>
      <c r="B46" s="4" t="s">
        <v>7</v>
      </c>
      <c r="C46" s="4" t="s">
        <v>177</v>
      </c>
      <c r="D46" s="4" t="s">
        <v>304</v>
      </c>
      <c r="E46" s="5" t="s">
        <v>305</v>
      </c>
      <c r="F46" s="4" t="s">
        <v>304</v>
      </c>
      <c r="G46" s="4" t="s">
        <v>303</v>
      </c>
    </row>
    <row r="47" spans="1:7" ht="15.75" customHeight="1" x14ac:dyDescent="0.2">
      <c r="A47" s="4" t="s">
        <v>95</v>
      </c>
      <c r="B47" s="4" t="s">
        <v>7</v>
      </c>
      <c r="C47" s="4" t="s">
        <v>180</v>
      </c>
      <c r="D47" s="4" t="s">
        <v>306</v>
      </c>
      <c r="E47" s="5" t="s">
        <v>307</v>
      </c>
      <c r="F47" s="4" t="s">
        <v>306</v>
      </c>
      <c r="G47" s="4" t="s">
        <v>303</v>
      </c>
    </row>
    <row r="48" spans="1:7" ht="15.75" customHeight="1" x14ac:dyDescent="0.2">
      <c r="A48" s="4" t="s">
        <v>39</v>
      </c>
      <c r="B48" s="4" t="s">
        <v>7</v>
      </c>
      <c r="C48" s="4" t="s">
        <v>183</v>
      </c>
      <c r="D48" s="4" t="s">
        <v>308</v>
      </c>
      <c r="E48" s="5" t="s">
        <v>309</v>
      </c>
      <c r="F48" s="4" t="s">
        <v>308</v>
      </c>
      <c r="G48" s="4" t="s">
        <v>303</v>
      </c>
    </row>
    <row r="49" spans="1:7" ht="15.75" customHeight="1" x14ac:dyDescent="0.2">
      <c r="A49" s="4" t="s">
        <v>81</v>
      </c>
      <c r="B49" s="4" t="s">
        <v>7</v>
      </c>
      <c r="C49" s="4" t="s">
        <v>186</v>
      </c>
      <c r="D49" s="4" t="s">
        <v>310</v>
      </c>
      <c r="E49" s="4" t="s">
        <v>98</v>
      </c>
      <c r="F49" s="4" t="s">
        <v>310</v>
      </c>
      <c r="G49" s="4" t="s">
        <v>303</v>
      </c>
    </row>
    <row r="50" spans="1:7" ht="15.75" customHeight="1" x14ac:dyDescent="0.2">
      <c r="A50" s="4" t="s">
        <v>18</v>
      </c>
      <c r="B50" s="4" t="s">
        <v>7</v>
      </c>
      <c r="C50" s="4" t="s">
        <v>194</v>
      </c>
      <c r="D50" s="4" t="s">
        <v>311</v>
      </c>
      <c r="E50" s="4" t="s">
        <v>312</v>
      </c>
      <c r="F50" s="4" t="s">
        <v>304</v>
      </c>
      <c r="G50" s="4" t="s">
        <v>303</v>
      </c>
    </row>
    <row r="51" spans="1:7" ht="15.75" customHeight="1" x14ac:dyDescent="0.2">
      <c r="A51" s="4" t="s">
        <v>31</v>
      </c>
      <c r="B51" s="4" t="s">
        <v>7</v>
      </c>
      <c r="C51" s="4" t="s">
        <v>197</v>
      </c>
      <c r="D51" s="4" t="s">
        <v>313</v>
      </c>
      <c r="E51" s="5" t="s">
        <v>314</v>
      </c>
      <c r="F51" s="4" t="s">
        <v>304</v>
      </c>
      <c r="G51" s="4" t="s">
        <v>303</v>
      </c>
    </row>
    <row r="52" spans="1:7" ht="15.75" customHeight="1" x14ac:dyDescent="0.2">
      <c r="A52" s="4" t="s">
        <v>69</v>
      </c>
      <c r="B52" s="4" t="s">
        <v>7</v>
      </c>
      <c r="C52" s="4" t="s">
        <v>200</v>
      </c>
      <c r="D52" s="4" t="s">
        <v>315</v>
      </c>
      <c r="E52" s="4" t="s">
        <v>316</v>
      </c>
      <c r="F52" s="4" t="s">
        <v>304</v>
      </c>
      <c r="G52" s="4" t="s">
        <v>303</v>
      </c>
    </row>
    <row r="53" spans="1:7" ht="15.75" customHeight="1" x14ac:dyDescent="0.2">
      <c r="A53" s="4" t="s">
        <v>71</v>
      </c>
      <c r="B53" s="4" t="s">
        <v>7</v>
      </c>
      <c r="C53" s="4" t="s">
        <v>203</v>
      </c>
      <c r="D53" s="4" t="s">
        <v>317</v>
      </c>
      <c r="E53" s="4" t="s">
        <v>318</v>
      </c>
      <c r="F53" s="4" t="s">
        <v>304</v>
      </c>
      <c r="G53" s="4" t="s">
        <v>303</v>
      </c>
    </row>
    <row r="54" spans="1:7" ht="15.75" customHeight="1" x14ac:dyDescent="0.2">
      <c r="A54" s="4" t="s">
        <v>60</v>
      </c>
      <c r="B54" s="4" t="s">
        <v>7</v>
      </c>
      <c r="C54" s="4" t="s">
        <v>206</v>
      </c>
      <c r="D54" s="4" t="s">
        <v>319</v>
      </c>
      <c r="E54" s="4" t="s">
        <v>320</v>
      </c>
      <c r="F54" s="4" t="s">
        <v>304</v>
      </c>
      <c r="G54" s="4" t="s">
        <v>303</v>
      </c>
    </row>
    <row r="55" spans="1:7" ht="15.75" customHeight="1" x14ac:dyDescent="0.2">
      <c r="A55" s="4" t="s">
        <v>61</v>
      </c>
      <c r="B55" s="4" t="s">
        <v>7</v>
      </c>
      <c r="C55" s="4" t="s">
        <v>209</v>
      </c>
      <c r="D55" s="4" t="s">
        <v>321</v>
      </c>
      <c r="E55" s="5" t="s">
        <v>322</v>
      </c>
      <c r="F55" s="4" t="s">
        <v>304</v>
      </c>
      <c r="G55" s="4" t="s">
        <v>303</v>
      </c>
    </row>
    <row r="56" spans="1:7" ht="15.75" customHeight="1" x14ac:dyDescent="0.2">
      <c r="A56" s="4" t="s">
        <v>24</v>
      </c>
      <c r="B56" s="4" t="s">
        <v>7</v>
      </c>
      <c r="C56" s="4" t="s">
        <v>212</v>
      </c>
      <c r="D56" s="4" t="s">
        <v>323</v>
      </c>
      <c r="E56" s="5" t="s">
        <v>324</v>
      </c>
      <c r="F56" s="4" t="s">
        <v>306</v>
      </c>
      <c r="G56" s="4" t="s">
        <v>303</v>
      </c>
    </row>
    <row r="57" spans="1:7" ht="15.75" customHeight="1" x14ac:dyDescent="0.2">
      <c r="A57" s="4" t="s">
        <v>38</v>
      </c>
      <c r="B57" s="4" t="s">
        <v>7</v>
      </c>
      <c r="C57" s="4" t="s">
        <v>215</v>
      </c>
      <c r="D57" s="4" t="s">
        <v>325</v>
      </c>
      <c r="E57" s="5" t="s">
        <v>326</v>
      </c>
      <c r="F57" s="4" t="s">
        <v>306</v>
      </c>
      <c r="G57" s="4" t="s">
        <v>303</v>
      </c>
    </row>
    <row r="58" spans="1:7" ht="15.75" customHeight="1" x14ac:dyDescent="0.2">
      <c r="A58" s="4" t="s">
        <v>8</v>
      </c>
      <c r="B58" s="4" t="s">
        <v>7</v>
      </c>
      <c r="C58" s="4" t="s">
        <v>218</v>
      </c>
      <c r="D58" s="4" t="s">
        <v>327</v>
      </c>
      <c r="E58" s="5" t="s">
        <v>328</v>
      </c>
      <c r="F58" s="4" t="s">
        <v>306</v>
      </c>
      <c r="G58" s="4" t="s">
        <v>303</v>
      </c>
    </row>
    <row r="59" spans="1:7" ht="15.75" customHeight="1" x14ac:dyDescent="0.2">
      <c r="A59" s="4" t="s">
        <v>41</v>
      </c>
      <c r="B59" s="4" t="s">
        <v>7</v>
      </c>
      <c r="C59" s="4" t="s">
        <v>221</v>
      </c>
      <c r="D59" s="4" t="s">
        <v>329</v>
      </c>
      <c r="E59" s="5" t="s">
        <v>330</v>
      </c>
      <c r="F59" s="4" t="s">
        <v>306</v>
      </c>
      <c r="G59" s="4" t="s">
        <v>303</v>
      </c>
    </row>
    <row r="60" spans="1:7" ht="15.75" customHeight="1" x14ac:dyDescent="0.2">
      <c r="A60" s="4" t="s">
        <v>84</v>
      </c>
      <c r="B60" s="4" t="s">
        <v>7</v>
      </c>
      <c r="C60" s="4" t="s">
        <v>224</v>
      </c>
      <c r="D60" s="4" t="s">
        <v>331</v>
      </c>
      <c r="E60" s="5" t="s">
        <v>332</v>
      </c>
      <c r="F60" s="4" t="s">
        <v>306</v>
      </c>
      <c r="G60" s="4" t="s">
        <v>303</v>
      </c>
    </row>
    <row r="61" spans="1:7" ht="15.75" customHeight="1" x14ac:dyDescent="0.2">
      <c r="A61" s="4" t="s">
        <v>73</v>
      </c>
      <c r="B61" s="4" t="s">
        <v>7</v>
      </c>
      <c r="C61" s="4" t="s">
        <v>227</v>
      </c>
      <c r="D61" s="4" t="s">
        <v>333</v>
      </c>
      <c r="E61" s="5" t="s">
        <v>332</v>
      </c>
      <c r="F61" s="4" t="s">
        <v>306</v>
      </c>
      <c r="G61" s="4" t="s">
        <v>303</v>
      </c>
    </row>
    <row r="62" spans="1:7" ht="15.75" customHeight="1" x14ac:dyDescent="0.2">
      <c r="A62" s="4" t="s">
        <v>52</v>
      </c>
      <c r="B62" s="4" t="s">
        <v>7</v>
      </c>
      <c r="C62" s="4" t="s">
        <v>230</v>
      </c>
      <c r="D62" s="4" t="s">
        <v>334</v>
      </c>
      <c r="E62" s="5" t="s">
        <v>335</v>
      </c>
      <c r="F62" s="4" t="s">
        <v>308</v>
      </c>
      <c r="G62" s="4" t="s">
        <v>303</v>
      </c>
    </row>
    <row r="63" spans="1:7" ht="15.75" customHeight="1" x14ac:dyDescent="0.2">
      <c r="A63" s="4" t="s">
        <v>42</v>
      </c>
      <c r="B63" s="4" t="s">
        <v>7</v>
      </c>
      <c r="C63" s="4" t="s">
        <v>233</v>
      </c>
      <c r="D63" s="4" t="s">
        <v>336</v>
      </c>
      <c r="E63" s="4" t="s">
        <v>337</v>
      </c>
      <c r="F63" s="4" t="s">
        <v>308</v>
      </c>
      <c r="G63" s="4" t="s">
        <v>303</v>
      </c>
    </row>
    <row r="64" spans="1:7" ht="15.75" customHeight="1" x14ac:dyDescent="0.2">
      <c r="A64" s="4" t="s">
        <v>102</v>
      </c>
      <c r="B64" s="4" t="s">
        <v>7</v>
      </c>
      <c r="C64" s="4" t="s">
        <v>236</v>
      </c>
      <c r="D64" s="4" t="s">
        <v>338</v>
      </c>
      <c r="E64" s="4" t="s">
        <v>339</v>
      </c>
      <c r="F64" s="4" t="s">
        <v>308</v>
      </c>
      <c r="G64" s="4" t="s">
        <v>303</v>
      </c>
    </row>
    <row r="65" spans="1:7" ht="15.75" customHeight="1" x14ac:dyDescent="0.2">
      <c r="A65" s="4" t="s">
        <v>43</v>
      </c>
      <c r="B65" s="4" t="s">
        <v>7</v>
      </c>
      <c r="C65" s="4" t="s">
        <v>239</v>
      </c>
      <c r="D65" s="4" t="s">
        <v>340</v>
      </c>
      <c r="E65" s="5" t="s">
        <v>341</v>
      </c>
      <c r="F65" s="4" t="s">
        <v>308</v>
      </c>
      <c r="G65" s="4" t="s">
        <v>303</v>
      </c>
    </row>
    <row r="66" spans="1:7" ht="15.75" customHeight="1" x14ac:dyDescent="0.2">
      <c r="A66" s="4" t="s">
        <v>20</v>
      </c>
      <c r="B66" s="4" t="s">
        <v>7</v>
      </c>
      <c r="C66" s="4" t="s">
        <v>242</v>
      </c>
      <c r="D66" s="4" t="s">
        <v>342</v>
      </c>
      <c r="E66" s="5" t="s">
        <v>343</v>
      </c>
      <c r="F66" s="4" t="s">
        <v>308</v>
      </c>
      <c r="G66" s="4" t="s">
        <v>303</v>
      </c>
    </row>
    <row r="67" spans="1:7" ht="15.75" customHeight="1" x14ac:dyDescent="0.2">
      <c r="A67" s="4" t="s">
        <v>25</v>
      </c>
      <c r="B67" s="4" t="s">
        <v>7</v>
      </c>
      <c r="C67" s="4" t="s">
        <v>245</v>
      </c>
      <c r="D67" s="4" t="s">
        <v>344</v>
      </c>
      <c r="E67" s="4" t="s">
        <v>345</v>
      </c>
      <c r="F67" s="4" t="s">
        <v>308</v>
      </c>
      <c r="G67" s="4" t="s">
        <v>303</v>
      </c>
    </row>
    <row r="68" spans="1:7" ht="15.75" customHeight="1" x14ac:dyDescent="0.2">
      <c r="A68" s="4" t="s">
        <v>47</v>
      </c>
      <c r="B68" s="4" t="s">
        <v>7</v>
      </c>
      <c r="C68" s="4" t="s">
        <v>248</v>
      </c>
      <c r="D68" s="4" t="s">
        <v>346</v>
      </c>
      <c r="E68" s="4" t="s">
        <v>347</v>
      </c>
      <c r="F68" s="4" t="s">
        <v>310</v>
      </c>
      <c r="G68" s="4" t="s">
        <v>303</v>
      </c>
    </row>
    <row r="69" spans="1:7" ht="15.75" customHeight="1" x14ac:dyDescent="0.2">
      <c r="A69" s="4" t="s">
        <v>28</v>
      </c>
      <c r="B69" s="4" t="s">
        <v>7</v>
      </c>
      <c r="C69" s="4" t="s">
        <v>251</v>
      </c>
      <c r="D69" s="4" t="s">
        <v>348</v>
      </c>
      <c r="E69" s="4" t="s">
        <v>349</v>
      </c>
      <c r="F69" s="4" t="s">
        <v>310</v>
      </c>
      <c r="G69" s="4" t="s">
        <v>303</v>
      </c>
    </row>
    <row r="70" spans="1:7" ht="15.75" customHeight="1" x14ac:dyDescent="0.2">
      <c r="A70" s="4" t="s">
        <v>35</v>
      </c>
      <c r="B70" s="4" t="s">
        <v>7</v>
      </c>
      <c r="C70" s="4" t="s">
        <v>254</v>
      </c>
      <c r="D70" s="4" t="s">
        <v>350</v>
      </c>
      <c r="E70" s="4" t="s">
        <v>351</v>
      </c>
      <c r="F70" s="4" t="s">
        <v>310</v>
      </c>
      <c r="G70" s="4" t="s">
        <v>303</v>
      </c>
    </row>
    <row r="71" spans="1:7" ht="15.75" customHeight="1" x14ac:dyDescent="0.2">
      <c r="A71" s="4" t="s">
        <v>75</v>
      </c>
      <c r="B71" s="4" t="s">
        <v>7</v>
      </c>
      <c r="C71" s="4" t="s">
        <v>257</v>
      </c>
      <c r="D71" s="4" t="s">
        <v>352</v>
      </c>
      <c r="E71" s="4" t="s">
        <v>353</v>
      </c>
      <c r="F71" s="4" t="s">
        <v>310</v>
      </c>
      <c r="G71" s="4" t="s">
        <v>303</v>
      </c>
    </row>
    <row r="72" spans="1:7" ht="15.75" customHeight="1" x14ac:dyDescent="0.2">
      <c r="A72" s="4" t="s">
        <v>12</v>
      </c>
      <c r="B72" s="4" t="s">
        <v>7</v>
      </c>
      <c r="C72" s="4" t="s">
        <v>260</v>
      </c>
      <c r="D72" s="4" t="s">
        <v>354</v>
      </c>
      <c r="E72" s="5" t="s">
        <v>355</v>
      </c>
      <c r="F72" s="4" t="s">
        <v>310</v>
      </c>
      <c r="G72" s="4" t="s">
        <v>303</v>
      </c>
    </row>
    <row r="73" spans="1:7" ht="15.75" customHeight="1" x14ac:dyDescent="0.2">
      <c r="A73" s="4" t="s">
        <v>70</v>
      </c>
      <c r="B73" s="4" t="s">
        <v>7</v>
      </c>
      <c r="C73" s="4" t="s">
        <v>263</v>
      </c>
      <c r="D73" s="4" t="s">
        <v>356</v>
      </c>
      <c r="E73" s="5" t="s">
        <v>357</v>
      </c>
      <c r="F73" s="4" t="s">
        <v>310</v>
      </c>
      <c r="G73" s="4" t="s">
        <v>303</v>
      </c>
    </row>
    <row r="74" spans="1:7" ht="15.75" customHeight="1" x14ac:dyDescent="0.2">
      <c r="A74" s="4" t="s">
        <v>358</v>
      </c>
      <c r="B74" s="4" t="s">
        <v>4</v>
      </c>
      <c r="C74" s="4" t="s">
        <v>174</v>
      </c>
      <c r="D74" s="4" t="s">
        <v>359</v>
      </c>
      <c r="E74" s="4" t="s">
        <v>360</v>
      </c>
      <c r="F74" s="4" t="s">
        <v>359</v>
      </c>
      <c r="G74" s="4" t="s">
        <v>359</v>
      </c>
    </row>
    <row r="75" spans="1:7" ht="15.75" customHeight="1" x14ac:dyDescent="0.2">
      <c r="A75" s="4" t="s">
        <v>74</v>
      </c>
      <c r="B75" s="4" t="s">
        <v>4</v>
      </c>
      <c r="C75" s="4" t="s">
        <v>177</v>
      </c>
      <c r="D75" s="4" t="s">
        <v>361</v>
      </c>
      <c r="E75" s="5" t="s">
        <v>362</v>
      </c>
      <c r="F75" s="4" t="s">
        <v>361</v>
      </c>
      <c r="G75" s="4" t="s">
        <v>359</v>
      </c>
    </row>
    <row r="76" spans="1:7" ht="15.75" customHeight="1" x14ac:dyDescent="0.2">
      <c r="A76" s="4" t="s">
        <v>89</v>
      </c>
      <c r="B76" s="4" t="s">
        <v>4</v>
      </c>
      <c r="C76" s="4" t="s">
        <v>180</v>
      </c>
      <c r="D76" s="4" t="s">
        <v>363</v>
      </c>
      <c r="E76" s="4" t="s">
        <v>364</v>
      </c>
      <c r="F76" s="4" t="s">
        <v>363</v>
      </c>
      <c r="G76" s="4" t="s">
        <v>359</v>
      </c>
    </row>
    <row r="77" spans="1:7" ht="15.75" customHeight="1" x14ac:dyDescent="0.2">
      <c r="A77" s="4" t="s">
        <v>21</v>
      </c>
      <c r="B77" s="4" t="s">
        <v>4</v>
      </c>
      <c r="C77" s="4" t="s">
        <v>183</v>
      </c>
      <c r="D77" s="4" t="s">
        <v>365</v>
      </c>
      <c r="E77" s="4" t="s">
        <v>366</v>
      </c>
      <c r="F77" s="4" t="s">
        <v>365</v>
      </c>
      <c r="G77" s="4" t="s">
        <v>359</v>
      </c>
    </row>
    <row r="78" spans="1:7" ht="15.75" customHeight="1" x14ac:dyDescent="0.2">
      <c r="A78" s="4" t="s">
        <v>85</v>
      </c>
      <c r="B78" s="4" t="s">
        <v>4</v>
      </c>
      <c r="C78" s="4" t="s">
        <v>186</v>
      </c>
      <c r="D78" s="4" t="s">
        <v>367</v>
      </c>
      <c r="E78" s="5" t="s">
        <v>368</v>
      </c>
      <c r="F78" s="4" t="s">
        <v>367</v>
      </c>
      <c r="G78" s="4" t="s">
        <v>359</v>
      </c>
    </row>
    <row r="79" spans="1:7" ht="15.75" customHeight="1" x14ac:dyDescent="0.2">
      <c r="A79" s="4" t="s">
        <v>100</v>
      </c>
      <c r="B79" s="4" t="s">
        <v>4</v>
      </c>
      <c r="C79" s="4" t="s">
        <v>189</v>
      </c>
      <c r="D79" s="4" t="s">
        <v>369</v>
      </c>
      <c r="E79" s="5" t="s">
        <v>370</v>
      </c>
      <c r="F79" s="4" t="s">
        <v>369</v>
      </c>
      <c r="G79" s="4" t="s">
        <v>359</v>
      </c>
    </row>
    <row r="80" spans="1:7" ht="15.75" customHeight="1" x14ac:dyDescent="0.2">
      <c r="A80" s="4" t="s">
        <v>82</v>
      </c>
      <c r="B80" s="4" t="s">
        <v>4</v>
      </c>
      <c r="C80" s="4" t="s">
        <v>191</v>
      </c>
      <c r="D80" s="4" t="s">
        <v>371</v>
      </c>
      <c r="E80" s="4" t="s">
        <v>372</v>
      </c>
      <c r="F80" s="4" t="s">
        <v>371</v>
      </c>
      <c r="G80" s="4" t="s">
        <v>359</v>
      </c>
    </row>
    <row r="81" spans="1:7" ht="15.75" customHeight="1" x14ac:dyDescent="0.2">
      <c r="A81" s="4" t="s">
        <v>139</v>
      </c>
      <c r="B81" s="4" t="s">
        <v>4</v>
      </c>
      <c r="C81" s="4" t="s">
        <v>194</v>
      </c>
      <c r="D81" s="4" t="s">
        <v>373</v>
      </c>
      <c r="E81" s="5" t="s">
        <v>374</v>
      </c>
      <c r="F81" s="4" t="s">
        <v>361</v>
      </c>
      <c r="G81" s="4" t="s">
        <v>359</v>
      </c>
    </row>
    <row r="82" spans="1:7" ht="15.75" customHeight="1" x14ac:dyDescent="0.2">
      <c r="A82" s="4" t="s">
        <v>165</v>
      </c>
      <c r="B82" s="4" t="s">
        <v>4</v>
      </c>
      <c r="C82" s="4" t="s">
        <v>197</v>
      </c>
      <c r="D82" s="4" t="s">
        <v>375</v>
      </c>
      <c r="E82" s="5" t="s">
        <v>376</v>
      </c>
      <c r="F82" s="4" t="s">
        <v>361</v>
      </c>
      <c r="G82" s="4" t="s">
        <v>359</v>
      </c>
    </row>
    <row r="83" spans="1:7" ht="15.75" customHeight="1" x14ac:dyDescent="0.2">
      <c r="A83" s="4" t="s">
        <v>143</v>
      </c>
      <c r="B83" s="4" t="s">
        <v>4</v>
      </c>
      <c r="C83" s="4" t="s">
        <v>200</v>
      </c>
      <c r="D83" s="4" t="s">
        <v>377</v>
      </c>
      <c r="E83" s="4" t="s">
        <v>378</v>
      </c>
      <c r="F83" s="4" t="s">
        <v>361</v>
      </c>
      <c r="G83" s="4" t="s">
        <v>359</v>
      </c>
    </row>
    <row r="84" spans="1:7" ht="15.75" customHeight="1" x14ac:dyDescent="0.2">
      <c r="A84" s="4" t="s">
        <v>161</v>
      </c>
      <c r="B84" s="4" t="s">
        <v>4</v>
      </c>
      <c r="C84" s="4" t="s">
        <v>203</v>
      </c>
      <c r="D84" s="4" t="s">
        <v>379</v>
      </c>
      <c r="E84" s="5" t="s">
        <v>380</v>
      </c>
      <c r="F84" s="4" t="s">
        <v>361</v>
      </c>
      <c r="G84" s="4" t="s">
        <v>359</v>
      </c>
    </row>
    <row r="85" spans="1:7" ht="15.75" customHeight="1" x14ac:dyDescent="0.2">
      <c r="A85" s="4" t="s">
        <v>149</v>
      </c>
      <c r="B85" s="4" t="s">
        <v>4</v>
      </c>
      <c r="C85" s="4" t="s">
        <v>206</v>
      </c>
      <c r="D85" s="4" t="s">
        <v>381</v>
      </c>
      <c r="E85" s="5" t="s">
        <v>382</v>
      </c>
      <c r="F85" s="4" t="s">
        <v>361</v>
      </c>
      <c r="G85" s="4" t="s">
        <v>359</v>
      </c>
    </row>
    <row r="86" spans="1:7" ht="15.75" customHeight="1" x14ac:dyDescent="0.2">
      <c r="A86" s="4" t="s">
        <v>146</v>
      </c>
      <c r="B86" s="4" t="s">
        <v>4</v>
      </c>
      <c r="C86" s="4" t="s">
        <v>209</v>
      </c>
      <c r="D86" s="4" t="s">
        <v>383</v>
      </c>
      <c r="E86" s="4" t="s">
        <v>384</v>
      </c>
      <c r="F86" s="4" t="s">
        <v>361</v>
      </c>
      <c r="G86" s="4" t="s">
        <v>359</v>
      </c>
    </row>
    <row r="87" spans="1:7" ht="15.75" customHeight="1" x14ac:dyDescent="0.2">
      <c r="A87" s="4" t="s">
        <v>147</v>
      </c>
      <c r="B87" s="4" t="s">
        <v>4</v>
      </c>
      <c r="C87" s="4" t="s">
        <v>212</v>
      </c>
      <c r="D87" s="4" t="s">
        <v>385</v>
      </c>
      <c r="E87" s="4" t="s">
        <v>386</v>
      </c>
      <c r="F87" s="4" t="s">
        <v>361</v>
      </c>
      <c r="G87" s="4" t="s">
        <v>359</v>
      </c>
    </row>
    <row r="88" spans="1:7" ht="15.75" customHeight="1" x14ac:dyDescent="0.2">
      <c r="A88" s="4" t="s">
        <v>114</v>
      </c>
      <c r="B88" s="4" t="s">
        <v>4</v>
      </c>
      <c r="C88" s="4" t="s">
        <v>215</v>
      </c>
      <c r="D88" s="4" t="s">
        <v>387</v>
      </c>
      <c r="E88" s="5" t="s">
        <v>388</v>
      </c>
      <c r="F88" s="4" t="s">
        <v>361</v>
      </c>
      <c r="G88" s="4" t="s">
        <v>359</v>
      </c>
    </row>
    <row r="89" spans="1:7" ht="15.75" customHeight="1" x14ac:dyDescent="0.2">
      <c r="A89" s="4" t="s">
        <v>124</v>
      </c>
      <c r="B89" s="4" t="s">
        <v>4</v>
      </c>
      <c r="C89" s="4" t="s">
        <v>218</v>
      </c>
      <c r="D89" s="4" t="s">
        <v>389</v>
      </c>
      <c r="E89" s="5" t="s">
        <v>390</v>
      </c>
      <c r="F89" s="4" t="s">
        <v>363</v>
      </c>
      <c r="G89" s="4" t="s">
        <v>359</v>
      </c>
    </row>
    <row r="90" spans="1:7" ht="15.75" customHeight="1" x14ac:dyDescent="0.2">
      <c r="A90" s="4" t="s">
        <v>129</v>
      </c>
      <c r="B90" s="4" t="s">
        <v>4</v>
      </c>
      <c r="C90" s="4" t="s">
        <v>221</v>
      </c>
      <c r="D90" s="4" t="s">
        <v>391</v>
      </c>
      <c r="E90" s="5" t="s">
        <v>392</v>
      </c>
      <c r="F90" s="4" t="s">
        <v>363</v>
      </c>
      <c r="G90" s="4" t="s">
        <v>359</v>
      </c>
    </row>
    <row r="91" spans="1:7" ht="15.75" customHeight="1" x14ac:dyDescent="0.2">
      <c r="A91" s="4" t="s">
        <v>125</v>
      </c>
      <c r="B91" s="4" t="s">
        <v>4</v>
      </c>
      <c r="C91" s="4" t="s">
        <v>224</v>
      </c>
      <c r="D91" s="4" t="s">
        <v>393</v>
      </c>
      <c r="E91" s="4" t="s">
        <v>394</v>
      </c>
      <c r="F91" s="4" t="s">
        <v>363</v>
      </c>
      <c r="G91" s="4" t="s">
        <v>359</v>
      </c>
    </row>
    <row r="92" spans="1:7" ht="15.75" customHeight="1" x14ac:dyDescent="0.2">
      <c r="A92" s="4" t="s">
        <v>128</v>
      </c>
      <c r="B92" s="4" t="s">
        <v>4</v>
      </c>
      <c r="C92" s="4" t="s">
        <v>227</v>
      </c>
      <c r="D92" s="4" t="s">
        <v>395</v>
      </c>
      <c r="E92" s="5" t="s">
        <v>396</v>
      </c>
      <c r="F92" s="4" t="s">
        <v>363</v>
      </c>
      <c r="G92" s="4" t="s">
        <v>359</v>
      </c>
    </row>
    <row r="93" spans="1:7" ht="15.75" customHeight="1" x14ac:dyDescent="0.2">
      <c r="A93" s="4" t="s">
        <v>123</v>
      </c>
      <c r="B93" s="4" t="s">
        <v>4</v>
      </c>
      <c r="C93" s="4" t="s">
        <v>230</v>
      </c>
      <c r="D93" s="4" t="s">
        <v>397</v>
      </c>
      <c r="E93" s="4" t="s">
        <v>398</v>
      </c>
      <c r="F93" s="4" t="s">
        <v>363</v>
      </c>
      <c r="G93" s="4" t="s">
        <v>359</v>
      </c>
    </row>
    <row r="94" spans="1:7" ht="15.75" customHeight="1" x14ac:dyDescent="0.2">
      <c r="A94" s="4" t="s">
        <v>130</v>
      </c>
      <c r="B94" s="4" t="s">
        <v>4</v>
      </c>
      <c r="C94" s="4" t="s">
        <v>233</v>
      </c>
      <c r="D94" s="4" t="s">
        <v>399</v>
      </c>
      <c r="E94" s="5" t="s">
        <v>400</v>
      </c>
      <c r="F94" s="4" t="s">
        <v>363</v>
      </c>
      <c r="G94" s="4" t="s">
        <v>359</v>
      </c>
    </row>
    <row r="95" spans="1:7" ht="15.75" customHeight="1" x14ac:dyDescent="0.2">
      <c r="A95" s="4" t="s">
        <v>162</v>
      </c>
      <c r="B95" s="4" t="s">
        <v>4</v>
      </c>
      <c r="C95" s="4" t="s">
        <v>236</v>
      </c>
      <c r="D95" s="4" t="s">
        <v>401</v>
      </c>
      <c r="E95" s="4" t="s">
        <v>402</v>
      </c>
      <c r="F95" s="4" t="s">
        <v>365</v>
      </c>
      <c r="G95" s="4" t="s">
        <v>359</v>
      </c>
    </row>
    <row r="96" spans="1:7" ht="15.75" customHeight="1" x14ac:dyDescent="0.2">
      <c r="A96" s="4" t="s">
        <v>148</v>
      </c>
      <c r="B96" s="4" t="s">
        <v>4</v>
      </c>
      <c r="C96" s="4" t="s">
        <v>239</v>
      </c>
      <c r="D96" s="4" t="s">
        <v>403</v>
      </c>
      <c r="E96" s="5" t="s">
        <v>404</v>
      </c>
      <c r="F96" s="4" t="s">
        <v>365</v>
      </c>
      <c r="G96" s="4" t="s">
        <v>359</v>
      </c>
    </row>
    <row r="97" spans="1:7" ht="15.75" customHeight="1" x14ac:dyDescent="0.2">
      <c r="A97" s="4" t="s">
        <v>126</v>
      </c>
      <c r="B97" s="4" t="s">
        <v>4</v>
      </c>
      <c r="C97" s="4" t="s">
        <v>242</v>
      </c>
      <c r="D97" s="4" t="s">
        <v>405</v>
      </c>
      <c r="E97" s="4" t="s">
        <v>406</v>
      </c>
      <c r="F97" s="4" t="s">
        <v>365</v>
      </c>
      <c r="G97" s="4" t="s">
        <v>359</v>
      </c>
    </row>
    <row r="98" spans="1:7" ht="15.75" customHeight="1" x14ac:dyDescent="0.2">
      <c r="A98" s="4" t="s">
        <v>110</v>
      </c>
      <c r="B98" s="4" t="s">
        <v>4</v>
      </c>
      <c r="C98" s="4" t="s">
        <v>245</v>
      </c>
      <c r="D98" s="4" t="s">
        <v>407</v>
      </c>
      <c r="E98" s="4" t="s">
        <v>408</v>
      </c>
      <c r="F98" s="4" t="s">
        <v>365</v>
      </c>
      <c r="G98" s="4" t="s">
        <v>359</v>
      </c>
    </row>
    <row r="99" spans="1:7" ht="15.75" customHeight="1" x14ac:dyDescent="0.2">
      <c r="A99" s="4" t="s">
        <v>151</v>
      </c>
      <c r="B99" s="4" t="s">
        <v>4</v>
      </c>
      <c r="C99" s="4" t="s">
        <v>248</v>
      </c>
      <c r="D99" s="4" t="s">
        <v>409</v>
      </c>
      <c r="E99" s="4" t="s">
        <v>410</v>
      </c>
      <c r="F99" s="4" t="s">
        <v>365</v>
      </c>
      <c r="G99" s="4" t="s">
        <v>359</v>
      </c>
    </row>
    <row r="100" spans="1:7" ht="15.75" customHeight="1" x14ac:dyDescent="0.2">
      <c r="A100" s="4" t="s">
        <v>144</v>
      </c>
      <c r="B100" s="4" t="s">
        <v>4</v>
      </c>
      <c r="C100" s="4" t="s">
        <v>251</v>
      </c>
      <c r="D100" s="4" t="s">
        <v>411</v>
      </c>
      <c r="E100" s="5" t="s">
        <v>412</v>
      </c>
      <c r="F100" s="4" t="s">
        <v>365</v>
      </c>
      <c r="G100" s="4" t="s">
        <v>359</v>
      </c>
    </row>
    <row r="101" spans="1:7" ht="15.75" customHeight="1" x14ac:dyDescent="0.2">
      <c r="A101" s="4" t="s">
        <v>155</v>
      </c>
      <c r="B101" s="4" t="s">
        <v>4</v>
      </c>
      <c r="C101" s="4" t="s">
        <v>254</v>
      </c>
      <c r="D101" s="4" t="s">
        <v>413</v>
      </c>
      <c r="E101" s="4" t="s">
        <v>414</v>
      </c>
      <c r="F101" s="4" t="s">
        <v>367</v>
      </c>
      <c r="G101" s="4" t="s">
        <v>359</v>
      </c>
    </row>
    <row r="102" spans="1:7" ht="15.75" customHeight="1" x14ac:dyDescent="0.2">
      <c r="A102" s="4" t="s">
        <v>111</v>
      </c>
      <c r="B102" s="4" t="s">
        <v>4</v>
      </c>
      <c r="C102" s="4" t="s">
        <v>257</v>
      </c>
      <c r="D102" s="4" t="s">
        <v>415</v>
      </c>
      <c r="E102" s="4" t="s">
        <v>416</v>
      </c>
      <c r="F102" s="4" t="s">
        <v>367</v>
      </c>
      <c r="G102" s="4" t="s">
        <v>359</v>
      </c>
    </row>
    <row r="103" spans="1:7" ht="15.75" customHeight="1" x14ac:dyDescent="0.2">
      <c r="A103" s="4" t="s">
        <v>140</v>
      </c>
      <c r="B103" s="4" t="s">
        <v>4</v>
      </c>
      <c r="C103" s="4" t="s">
        <v>260</v>
      </c>
      <c r="D103" s="4" t="s">
        <v>417</v>
      </c>
      <c r="E103" s="5" t="s">
        <v>418</v>
      </c>
      <c r="F103" s="4" t="s">
        <v>367</v>
      </c>
      <c r="G103" s="4" t="s">
        <v>359</v>
      </c>
    </row>
    <row r="104" spans="1:7" ht="15.75" customHeight="1" x14ac:dyDescent="0.2">
      <c r="A104" s="4" t="s">
        <v>156</v>
      </c>
      <c r="B104" s="4" t="s">
        <v>4</v>
      </c>
      <c r="C104" s="4" t="s">
        <v>263</v>
      </c>
      <c r="D104" s="4" t="s">
        <v>419</v>
      </c>
      <c r="E104" s="5" t="s">
        <v>420</v>
      </c>
      <c r="F104" s="4" t="s">
        <v>367</v>
      </c>
      <c r="G104" s="4" t="s">
        <v>359</v>
      </c>
    </row>
    <row r="105" spans="1:7" ht="15.75" customHeight="1" x14ac:dyDescent="0.2">
      <c r="A105" s="4" t="s">
        <v>158</v>
      </c>
      <c r="B105" s="4" t="s">
        <v>4</v>
      </c>
      <c r="C105" s="4" t="s">
        <v>266</v>
      </c>
      <c r="D105" s="4" t="s">
        <v>421</v>
      </c>
      <c r="E105" s="5" t="s">
        <v>422</v>
      </c>
      <c r="F105" s="4" t="s">
        <v>367</v>
      </c>
      <c r="G105" s="4" t="s">
        <v>359</v>
      </c>
    </row>
    <row r="106" spans="1:7" ht="15.75" customHeight="1" x14ac:dyDescent="0.2">
      <c r="A106" s="4" t="s">
        <v>107</v>
      </c>
      <c r="B106" s="4" t="s">
        <v>4</v>
      </c>
      <c r="C106" s="4" t="s">
        <v>269</v>
      </c>
      <c r="D106" s="4" t="s">
        <v>423</v>
      </c>
      <c r="E106" s="5" t="s">
        <v>424</v>
      </c>
      <c r="F106" s="4" t="s">
        <v>367</v>
      </c>
      <c r="G106" s="4" t="s">
        <v>359</v>
      </c>
    </row>
    <row r="107" spans="1:7" ht="15.75" customHeight="1" x14ac:dyDescent="0.2">
      <c r="A107" s="4" t="s">
        <v>159</v>
      </c>
      <c r="B107" s="4" t="s">
        <v>4</v>
      </c>
      <c r="C107" s="4" t="s">
        <v>272</v>
      </c>
      <c r="D107" s="4" t="s">
        <v>425</v>
      </c>
      <c r="E107" s="5" t="s">
        <v>426</v>
      </c>
      <c r="F107" s="4" t="s">
        <v>369</v>
      </c>
      <c r="G107" s="4" t="s">
        <v>359</v>
      </c>
    </row>
    <row r="108" spans="1:7" ht="15.75" customHeight="1" x14ac:dyDescent="0.2">
      <c r="A108" s="4" t="s">
        <v>112</v>
      </c>
      <c r="B108" s="4" t="s">
        <v>4</v>
      </c>
      <c r="C108" s="4" t="s">
        <v>275</v>
      </c>
      <c r="D108" s="4" t="s">
        <v>427</v>
      </c>
      <c r="E108" s="5" t="s">
        <v>428</v>
      </c>
      <c r="F108" s="4" t="s">
        <v>369</v>
      </c>
      <c r="G108" s="4" t="s">
        <v>359</v>
      </c>
    </row>
    <row r="109" spans="1:7" ht="15.75" customHeight="1" x14ac:dyDescent="0.2">
      <c r="A109" s="4" t="s">
        <v>160</v>
      </c>
      <c r="B109" s="4" t="s">
        <v>4</v>
      </c>
      <c r="C109" s="4" t="s">
        <v>278</v>
      </c>
      <c r="D109" s="4" t="s">
        <v>429</v>
      </c>
      <c r="E109" s="5" t="s">
        <v>430</v>
      </c>
      <c r="F109" s="4" t="s">
        <v>369</v>
      </c>
      <c r="G109" s="4" t="s">
        <v>359</v>
      </c>
    </row>
    <row r="110" spans="1:7" ht="15.75" customHeight="1" x14ac:dyDescent="0.2">
      <c r="A110" s="4" t="s">
        <v>431</v>
      </c>
      <c r="B110" s="4" t="s">
        <v>4</v>
      </c>
      <c r="C110" s="4" t="s">
        <v>281</v>
      </c>
      <c r="D110" s="4" t="s">
        <v>432</v>
      </c>
      <c r="E110" s="5" t="s">
        <v>433</v>
      </c>
      <c r="F110" s="4" t="s">
        <v>369</v>
      </c>
      <c r="G110" s="4" t="s">
        <v>359</v>
      </c>
    </row>
    <row r="111" spans="1:7" ht="15.75" customHeight="1" x14ac:dyDescent="0.2">
      <c r="A111" s="4" t="s">
        <v>166</v>
      </c>
      <c r="B111" s="4" t="s">
        <v>4</v>
      </c>
      <c r="C111" s="4" t="s">
        <v>284</v>
      </c>
      <c r="D111" s="4" t="s">
        <v>434</v>
      </c>
      <c r="E111" s="5" t="s">
        <v>435</v>
      </c>
      <c r="F111" s="4" t="s">
        <v>369</v>
      </c>
      <c r="G111" s="4" t="s">
        <v>359</v>
      </c>
    </row>
    <row r="112" spans="1:7" ht="15.75" customHeight="1" x14ac:dyDescent="0.2">
      <c r="A112" s="4" t="s">
        <v>141</v>
      </c>
      <c r="B112" s="4" t="s">
        <v>4</v>
      </c>
      <c r="C112" s="4" t="s">
        <v>287</v>
      </c>
      <c r="D112" s="4" t="s">
        <v>436</v>
      </c>
      <c r="E112" s="5" t="s">
        <v>437</v>
      </c>
      <c r="F112" s="4" t="s">
        <v>369</v>
      </c>
      <c r="G112" s="4" t="s">
        <v>359</v>
      </c>
    </row>
    <row r="113" spans="1:7" ht="15.75" customHeight="1" x14ac:dyDescent="0.2">
      <c r="A113" s="4" t="s">
        <v>133</v>
      </c>
      <c r="B113" s="4" t="s">
        <v>4</v>
      </c>
      <c r="C113" s="4" t="s">
        <v>290</v>
      </c>
      <c r="D113" s="4" t="s">
        <v>438</v>
      </c>
      <c r="E113" s="4" t="s">
        <v>439</v>
      </c>
      <c r="F113" s="4" t="s">
        <v>371</v>
      </c>
      <c r="G113" s="4" t="s">
        <v>359</v>
      </c>
    </row>
    <row r="114" spans="1:7" ht="15.75" customHeight="1" x14ac:dyDescent="0.2">
      <c r="A114" s="4" t="s">
        <v>121</v>
      </c>
      <c r="B114" s="4" t="s">
        <v>4</v>
      </c>
      <c r="C114" s="4" t="s">
        <v>293</v>
      </c>
      <c r="D114" s="4" t="s">
        <v>440</v>
      </c>
      <c r="E114" s="4" t="s">
        <v>441</v>
      </c>
      <c r="F114" s="4" t="s">
        <v>371</v>
      </c>
      <c r="G114" s="4" t="s">
        <v>359</v>
      </c>
    </row>
    <row r="115" spans="1:7" ht="15.75" customHeight="1" x14ac:dyDescent="0.2">
      <c r="A115" s="4" t="s">
        <v>153</v>
      </c>
      <c r="B115" s="4" t="s">
        <v>4</v>
      </c>
      <c r="C115" s="4" t="s">
        <v>296</v>
      </c>
      <c r="D115" s="4" t="s">
        <v>442</v>
      </c>
      <c r="E115" s="5" t="s">
        <v>443</v>
      </c>
      <c r="F115" s="4" t="s">
        <v>371</v>
      </c>
      <c r="G115" s="4" t="s">
        <v>359</v>
      </c>
    </row>
    <row r="116" spans="1:7" ht="15.75" customHeight="1" x14ac:dyDescent="0.2">
      <c r="A116" s="4" t="s">
        <v>118</v>
      </c>
      <c r="B116" s="4" t="s">
        <v>4</v>
      </c>
      <c r="C116" s="4" t="s">
        <v>299</v>
      </c>
      <c r="D116" s="4" t="s">
        <v>444</v>
      </c>
      <c r="E116" s="5" t="s">
        <v>445</v>
      </c>
      <c r="F116" s="4" t="s">
        <v>371</v>
      </c>
      <c r="G116" s="4" t="s">
        <v>359</v>
      </c>
    </row>
    <row r="117" spans="1:7" ht="15.75" customHeight="1" x14ac:dyDescent="0.2">
      <c r="A117" s="4" t="s">
        <v>132</v>
      </c>
      <c r="B117" s="4" t="s">
        <v>4</v>
      </c>
      <c r="C117" s="4" t="s">
        <v>446</v>
      </c>
      <c r="D117" s="4" t="s">
        <v>447</v>
      </c>
      <c r="E117" s="5" t="s">
        <v>448</v>
      </c>
      <c r="F117" s="4" t="s">
        <v>371</v>
      </c>
      <c r="G117" s="4" t="s">
        <v>359</v>
      </c>
    </row>
    <row r="118" spans="1:7" ht="15.75" customHeight="1" x14ac:dyDescent="0.2">
      <c r="A118" s="4" t="s">
        <v>113</v>
      </c>
      <c r="B118" s="4" t="s">
        <v>4</v>
      </c>
      <c r="C118" s="4" t="s">
        <v>449</v>
      </c>
      <c r="D118" s="4" t="s">
        <v>450</v>
      </c>
      <c r="E118" s="5" t="s">
        <v>451</v>
      </c>
      <c r="F118" s="4" t="s">
        <v>371</v>
      </c>
      <c r="G118" s="4" t="s">
        <v>359</v>
      </c>
    </row>
    <row r="119" spans="1:7" ht="15.75" customHeight="1" x14ac:dyDescent="0.2">
      <c r="A119" s="4" t="s">
        <v>168</v>
      </c>
      <c r="B119" s="4" t="s">
        <v>4</v>
      </c>
      <c r="C119" s="4" t="s">
        <v>452</v>
      </c>
      <c r="D119" s="4" t="s">
        <v>453</v>
      </c>
      <c r="E119" s="4" t="s">
        <v>454</v>
      </c>
      <c r="F119" s="4" t="s">
        <v>453</v>
      </c>
      <c r="G119" s="4" t="s">
        <v>359</v>
      </c>
    </row>
    <row r="120" spans="1:7" ht="15.75" customHeight="1" x14ac:dyDescent="0.2">
      <c r="A120" s="4" t="s">
        <v>455</v>
      </c>
      <c r="B120" s="4" t="s">
        <v>11</v>
      </c>
      <c r="C120" s="4" t="s">
        <v>174</v>
      </c>
      <c r="D120" s="4" t="s">
        <v>456</v>
      </c>
      <c r="E120" s="5" t="s">
        <v>457</v>
      </c>
      <c r="F120" s="4" t="s">
        <v>456</v>
      </c>
      <c r="G120" s="4" t="s">
        <v>456</v>
      </c>
    </row>
    <row r="121" spans="1:7" ht="15.75" customHeight="1" x14ac:dyDescent="0.2">
      <c r="A121" s="4" t="s">
        <v>72</v>
      </c>
      <c r="B121" s="4" t="s">
        <v>11</v>
      </c>
      <c r="C121" s="4" t="s">
        <v>177</v>
      </c>
      <c r="D121" s="4" t="s">
        <v>458</v>
      </c>
      <c r="E121" s="5" t="s">
        <v>459</v>
      </c>
      <c r="F121" s="4" t="s">
        <v>458</v>
      </c>
      <c r="G121" s="4" t="s">
        <v>456</v>
      </c>
    </row>
    <row r="122" spans="1:7" ht="15.75" customHeight="1" x14ac:dyDescent="0.2">
      <c r="A122" s="4" t="s">
        <v>101</v>
      </c>
      <c r="B122" s="4" t="s">
        <v>11</v>
      </c>
      <c r="C122" s="4" t="s">
        <v>180</v>
      </c>
      <c r="D122" s="4" t="s">
        <v>460</v>
      </c>
      <c r="E122" s="5" t="s">
        <v>461</v>
      </c>
      <c r="F122" s="4" t="s">
        <v>460</v>
      </c>
      <c r="G122" s="4" t="s">
        <v>456</v>
      </c>
    </row>
    <row r="123" spans="1:7" ht="15.75" customHeight="1" x14ac:dyDescent="0.2">
      <c r="A123" s="4" t="s">
        <v>104</v>
      </c>
      <c r="B123" s="4" t="s">
        <v>11</v>
      </c>
      <c r="C123" s="4" t="s">
        <v>183</v>
      </c>
      <c r="D123" s="4" t="s">
        <v>462</v>
      </c>
      <c r="E123" s="5" t="s">
        <v>463</v>
      </c>
      <c r="F123" s="4" t="s">
        <v>462</v>
      </c>
      <c r="G123" s="4" t="s">
        <v>456</v>
      </c>
    </row>
    <row r="124" spans="1:7" ht="15.75" customHeight="1" x14ac:dyDescent="0.2">
      <c r="A124" s="4" t="s">
        <v>97</v>
      </c>
      <c r="B124" s="4" t="s">
        <v>11</v>
      </c>
      <c r="C124" s="4" t="s">
        <v>186</v>
      </c>
      <c r="D124" s="4" t="s">
        <v>464</v>
      </c>
      <c r="E124" s="4" t="s">
        <v>465</v>
      </c>
      <c r="F124" s="4" t="s">
        <v>464</v>
      </c>
      <c r="G124" s="4" t="s">
        <v>456</v>
      </c>
    </row>
    <row r="125" spans="1:7" ht="15.75" customHeight="1" x14ac:dyDescent="0.2">
      <c r="A125" s="4" t="s">
        <v>127</v>
      </c>
      <c r="B125" s="4" t="s">
        <v>11</v>
      </c>
      <c r="C125" s="4" t="s">
        <v>194</v>
      </c>
      <c r="D125" s="4" t="s">
        <v>466</v>
      </c>
      <c r="E125" s="5" t="s">
        <v>467</v>
      </c>
      <c r="F125" s="4" t="s">
        <v>458</v>
      </c>
      <c r="G125" s="4" t="s">
        <v>456</v>
      </c>
    </row>
    <row r="126" spans="1:7" ht="15.75" customHeight="1" x14ac:dyDescent="0.2">
      <c r="A126" s="4" t="s">
        <v>116</v>
      </c>
      <c r="B126" s="4" t="s">
        <v>11</v>
      </c>
      <c r="C126" s="4" t="s">
        <v>197</v>
      </c>
      <c r="D126" s="4" t="s">
        <v>468</v>
      </c>
      <c r="E126" s="5" t="s">
        <v>469</v>
      </c>
      <c r="F126" s="4" t="s">
        <v>458</v>
      </c>
      <c r="G126" s="4" t="s">
        <v>456</v>
      </c>
    </row>
    <row r="127" spans="1:7" ht="15.75" customHeight="1" x14ac:dyDescent="0.2">
      <c r="A127" s="4" t="s">
        <v>135</v>
      </c>
      <c r="B127" s="4" t="s">
        <v>11</v>
      </c>
      <c r="C127" s="4" t="s">
        <v>200</v>
      </c>
      <c r="D127" s="4" t="s">
        <v>470</v>
      </c>
      <c r="E127" s="4" t="s">
        <v>471</v>
      </c>
      <c r="F127" s="4" t="s">
        <v>458</v>
      </c>
      <c r="G127" s="4" t="s">
        <v>456</v>
      </c>
    </row>
    <row r="128" spans="1:7" ht="15.75" customHeight="1" x14ac:dyDescent="0.2">
      <c r="A128" s="4" t="s">
        <v>117</v>
      </c>
      <c r="B128" s="4" t="s">
        <v>11</v>
      </c>
      <c r="C128" s="4" t="s">
        <v>203</v>
      </c>
      <c r="D128" s="4" t="s">
        <v>472</v>
      </c>
      <c r="E128" s="5" t="s">
        <v>473</v>
      </c>
      <c r="F128" s="4" t="s">
        <v>458</v>
      </c>
      <c r="G128" s="4" t="s">
        <v>456</v>
      </c>
    </row>
    <row r="129" spans="1:7" ht="15.75" customHeight="1" x14ac:dyDescent="0.2">
      <c r="A129" s="4" t="s">
        <v>136</v>
      </c>
      <c r="B129" s="4" t="s">
        <v>11</v>
      </c>
      <c r="C129" s="4" t="s">
        <v>206</v>
      </c>
      <c r="D129" s="4" t="s">
        <v>474</v>
      </c>
      <c r="E129" s="5" t="s">
        <v>475</v>
      </c>
      <c r="F129" s="4" t="s">
        <v>458</v>
      </c>
      <c r="G129" s="4" t="s">
        <v>456</v>
      </c>
    </row>
    <row r="130" spans="1:7" ht="15.75" customHeight="1" x14ac:dyDescent="0.2">
      <c r="A130" s="4" t="s">
        <v>150</v>
      </c>
      <c r="B130" s="4" t="s">
        <v>11</v>
      </c>
      <c r="C130" s="4" t="s">
        <v>209</v>
      </c>
      <c r="D130" s="4" t="s">
        <v>476</v>
      </c>
      <c r="E130" s="4" t="s">
        <v>477</v>
      </c>
      <c r="F130" s="4" t="s">
        <v>458</v>
      </c>
      <c r="G130" s="4" t="s">
        <v>456</v>
      </c>
    </row>
    <row r="131" spans="1:7" ht="15.75" customHeight="1" x14ac:dyDescent="0.2">
      <c r="A131" s="4" t="s">
        <v>157</v>
      </c>
      <c r="B131" s="4" t="s">
        <v>11</v>
      </c>
      <c r="C131" s="4" t="s">
        <v>212</v>
      </c>
      <c r="D131" s="4" t="s">
        <v>478</v>
      </c>
      <c r="E131" s="5" t="s">
        <v>479</v>
      </c>
      <c r="F131" s="4" t="s">
        <v>460</v>
      </c>
      <c r="G131" s="4" t="s">
        <v>456</v>
      </c>
    </row>
    <row r="132" spans="1:7" ht="15.75" customHeight="1" x14ac:dyDescent="0.2">
      <c r="A132" s="4" t="s">
        <v>131</v>
      </c>
      <c r="B132" s="4" t="s">
        <v>11</v>
      </c>
      <c r="C132" s="4" t="s">
        <v>215</v>
      </c>
      <c r="D132" s="4" t="s">
        <v>480</v>
      </c>
      <c r="E132" s="4" t="s">
        <v>481</v>
      </c>
      <c r="F132" s="4" t="s">
        <v>460</v>
      </c>
      <c r="G132" s="4" t="s">
        <v>456</v>
      </c>
    </row>
    <row r="133" spans="1:7" ht="15.75" customHeight="1" x14ac:dyDescent="0.2">
      <c r="A133" s="4" t="s">
        <v>163</v>
      </c>
      <c r="B133" s="4" t="s">
        <v>11</v>
      </c>
      <c r="C133" s="4" t="s">
        <v>218</v>
      </c>
      <c r="D133" s="4" t="s">
        <v>482</v>
      </c>
      <c r="E133" s="5" t="s">
        <v>483</v>
      </c>
      <c r="F133" s="4" t="s">
        <v>460</v>
      </c>
      <c r="G133" s="4" t="s">
        <v>456</v>
      </c>
    </row>
    <row r="134" spans="1:7" ht="15.75" customHeight="1" x14ac:dyDescent="0.2">
      <c r="A134" s="4" t="s">
        <v>137</v>
      </c>
      <c r="B134" s="4" t="s">
        <v>11</v>
      </c>
      <c r="C134" s="4" t="s">
        <v>221</v>
      </c>
      <c r="D134" s="4" t="s">
        <v>484</v>
      </c>
      <c r="E134" s="5" t="s">
        <v>485</v>
      </c>
      <c r="F134" s="4" t="s">
        <v>460</v>
      </c>
      <c r="G134" s="4" t="s">
        <v>456</v>
      </c>
    </row>
    <row r="135" spans="1:7" ht="15.75" customHeight="1" x14ac:dyDescent="0.2">
      <c r="A135" s="4" t="s">
        <v>167</v>
      </c>
      <c r="B135" s="4" t="s">
        <v>11</v>
      </c>
      <c r="C135" s="4" t="s">
        <v>224</v>
      </c>
      <c r="D135" s="4" t="s">
        <v>486</v>
      </c>
      <c r="E135" s="5" t="s">
        <v>487</v>
      </c>
      <c r="F135" s="4" t="s">
        <v>460</v>
      </c>
      <c r="G135" s="4" t="s">
        <v>456</v>
      </c>
    </row>
    <row r="136" spans="1:7" ht="15.75" customHeight="1" x14ac:dyDescent="0.2">
      <c r="A136" s="4" t="s">
        <v>164</v>
      </c>
      <c r="B136" s="4" t="s">
        <v>11</v>
      </c>
      <c r="C136" s="4" t="s">
        <v>227</v>
      </c>
      <c r="D136" s="4" t="s">
        <v>488</v>
      </c>
      <c r="E136" s="5" t="s">
        <v>489</v>
      </c>
      <c r="F136" s="4" t="s">
        <v>460</v>
      </c>
      <c r="G136" s="4" t="s">
        <v>456</v>
      </c>
    </row>
    <row r="137" spans="1:7" ht="15.75" customHeight="1" x14ac:dyDescent="0.2">
      <c r="A137" s="4" t="s">
        <v>152</v>
      </c>
      <c r="B137" s="4" t="s">
        <v>11</v>
      </c>
      <c r="C137" s="4" t="s">
        <v>230</v>
      </c>
      <c r="D137" s="4" t="s">
        <v>490</v>
      </c>
      <c r="E137" s="5" t="s">
        <v>491</v>
      </c>
      <c r="F137" s="4" t="s">
        <v>462</v>
      </c>
      <c r="G137" s="4" t="s">
        <v>456</v>
      </c>
    </row>
    <row r="138" spans="1:7" ht="15.75" customHeight="1" x14ac:dyDescent="0.2">
      <c r="A138" s="4" t="s">
        <v>119</v>
      </c>
      <c r="B138" s="4" t="s">
        <v>11</v>
      </c>
      <c r="C138" s="4" t="s">
        <v>233</v>
      </c>
      <c r="D138" s="4" t="s">
        <v>492</v>
      </c>
      <c r="E138" s="4" t="s">
        <v>493</v>
      </c>
      <c r="F138" s="4" t="s">
        <v>462</v>
      </c>
      <c r="G138" s="4" t="s">
        <v>456</v>
      </c>
    </row>
    <row r="139" spans="1:7" ht="15.75" customHeight="1" x14ac:dyDescent="0.2">
      <c r="A139" s="4" t="s">
        <v>138</v>
      </c>
      <c r="B139" s="4" t="s">
        <v>11</v>
      </c>
      <c r="C139" s="4" t="s">
        <v>236</v>
      </c>
      <c r="D139" s="4" t="s">
        <v>494</v>
      </c>
      <c r="E139" s="5" t="s">
        <v>495</v>
      </c>
      <c r="F139" s="4" t="s">
        <v>462</v>
      </c>
      <c r="G139" s="4" t="s">
        <v>456</v>
      </c>
    </row>
    <row r="140" spans="1:7" ht="15.75" customHeight="1" x14ac:dyDescent="0.2">
      <c r="A140" s="4" t="s">
        <v>120</v>
      </c>
      <c r="B140" s="4" t="s">
        <v>11</v>
      </c>
      <c r="C140" s="4" t="s">
        <v>239</v>
      </c>
      <c r="D140" s="4" t="s">
        <v>496</v>
      </c>
      <c r="E140" s="5" t="s">
        <v>497</v>
      </c>
      <c r="F140" s="4" t="s">
        <v>462</v>
      </c>
      <c r="G140" s="4" t="s">
        <v>456</v>
      </c>
    </row>
    <row r="141" spans="1:7" ht="15.75" customHeight="1" x14ac:dyDescent="0.2">
      <c r="A141" s="4" t="s">
        <v>108</v>
      </c>
      <c r="B141" s="4" t="s">
        <v>11</v>
      </c>
      <c r="C141" s="4" t="s">
        <v>242</v>
      </c>
      <c r="D141" s="4" t="s">
        <v>498</v>
      </c>
      <c r="E141" s="5" t="s">
        <v>499</v>
      </c>
      <c r="F141" s="4" t="s">
        <v>462</v>
      </c>
      <c r="G141" s="4" t="s">
        <v>456</v>
      </c>
    </row>
    <row r="142" spans="1:7" ht="15.75" customHeight="1" x14ac:dyDescent="0.2">
      <c r="A142" s="4" t="s">
        <v>122</v>
      </c>
      <c r="B142" s="4" t="s">
        <v>11</v>
      </c>
      <c r="C142" s="4" t="s">
        <v>245</v>
      </c>
      <c r="D142" s="4" t="s">
        <v>500</v>
      </c>
      <c r="E142" s="4" t="s">
        <v>501</v>
      </c>
      <c r="F142" s="4" t="s">
        <v>462</v>
      </c>
      <c r="G142" s="4" t="s">
        <v>456</v>
      </c>
    </row>
    <row r="143" spans="1:7" ht="15.75" customHeight="1" x14ac:dyDescent="0.2">
      <c r="A143" s="4" t="s">
        <v>109</v>
      </c>
      <c r="B143" s="4" t="s">
        <v>11</v>
      </c>
      <c r="C143" s="4" t="s">
        <v>248</v>
      </c>
      <c r="D143" s="4" t="s">
        <v>502</v>
      </c>
      <c r="E143" s="5" t="s">
        <v>503</v>
      </c>
      <c r="F143" s="4" t="s">
        <v>464</v>
      </c>
      <c r="G143" s="4" t="s">
        <v>456</v>
      </c>
    </row>
    <row r="144" spans="1:7" ht="15.75" customHeight="1" x14ac:dyDescent="0.2">
      <c r="A144" s="4" t="s">
        <v>145</v>
      </c>
      <c r="B144" s="4" t="s">
        <v>11</v>
      </c>
      <c r="C144" s="4" t="s">
        <v>251</v>
      </c>
      <c r="D144" s="4" t="s">
        <v>504</v>
      </c>
      <c r="E144" s="5" t="s">
        <v>505</v>
      </c>
      <c r="F144" s="4" t="s">
        <v>464</v>
      </c>
      <c r="G144" s="4" t="s">
        <v>456</v>
      </c>
    </row>
    <row r="145" spans="1:7" ht="15.75" customHeight="1" x14ac:dyDescent="0.2">
      <c r="A145" s="4" t="s">
        <v>142</v>
      </c>
      <c r="B145" s="4" t="s">
        <v>11</v>
      </c>
      <c r="C145" s="4" t="s">
        <v>254</v>
      </c>
      <c r="D145" s="4" t="s">
        <v>506</v>
      </c>
      <c r="E145" s="5" t="s">
        <v>507</v>
      </c>
      <c r="F145" s="4" t="s">
        <v>464</v>
      </c>
      <c r="G145" s="4" t="s">
        <v>456</v>
      </c>
    </row>
    <row r="146" spans="1:7" ht="15.75" customHeight="1" x14ac:dyDescent="0.2">
      <c r="A146" s="4" t="s">
        <v>154</v>
      </c>
      <c r="B146" s="4" t="s">
        <v>11</v>
      </c>
      <c r="C146" s="4" t="s">
        <v>257</v>
      </c>
      <c r="D146" s="4" t="s">
        <v>508</v>
      </c>
      <c r="E146" s="4" t="s">
        <v>509</v>
      </c>
      <c r="F146" s="4" t="s">
        <v>464</v>
      </c>
      <c r="G146" s="4" t="s">
        <v>456</v>
      </c>
    </row>
    <row r="147" spans="1:7" ht="15.75" customHeight="1" x14ac:dyDescent="0.2">
      <c r="A147" s="4" t="s">
        <v>115</v>
      </c>
      <c r="B147" s="4" t="s">
        <v>11</v>
      </c>
      <c r="C147" s="4" t="s">
        <v>260</v>
      </c>
      <c r="D147" s="4" t="s">
        <v>510</v>
      </c>
      <c r="E147" s="5" t="s">
        <v>511</v>
      </c>
      <c r="F147" s="4" t="s">
        <v>464</v>
      </c>
      <c r="G147" s="4" t="s">
        <v>456</v>
      </c>
    </row>
    <row r="148" spans="1:7" ht="15.75" customHeight="1" x14ac:dyDescent="0.2">
      <c r="A148" s="4" t="s">
        <v>134</v>
      </c>
      <c r="B148" s="4" t="s">
        <v>11</v>
      </c>
      <c r="C148" s="4" t="s">
        <v>263</v>
      </c>
      <c r="D148" s="4" t="s">
        <v>512</v>
      </c>
      <c r="E148" s="4" t="s">
        <v>513</v>
      </c>
      <c r="F148" s="4" t="s">
        <v>464</v>
      </c>
      <c r="G148" s="4" t="s">
        <v>456</v>
      </c>
    </row>
    <row r="149" spans="1:7" ht="15.75" customHeight="1" x14ac:dyDescent="0.2">
      <c r="A149" s="4" t="s">
        <v>514</v>
      </c>
      <c r="B149" s="4" t="s">
        <v>2</v>
      </c>
      <c r="C149" s="4" t="s">
        <v>174</v>
      </c>
      <c r="D149" s="4" t="s">
        <v>515</v>
      </c>
      <c r="E149" s="6" t="s">
        <v>516</v>
      </c>
      <c r="F149" s="4" t="s">
        <v>517</v>
      </c>
      <c r="G149" s="4" t="s">
        <v>515</v>
      </c>
    </row>
    <row r="150" spans="1:7" ht="15.75" customHeight="1" x14ac:dyDescent="0.2">
      <c r="A150" s="4" t="s">
        <v>13</v>
      </c>
      <c r="B150" s="4" t="s">
        <v>2</v>
      </c>
      <c r="C150" s="4" t="s">
        <v>177</v>
      </c>
      <c r="D150" s="4" t="s">
        <v>518</v>
      </c>
      <c r="E150" s="5" t="s">
        <v>519</v>
      </c>
      <c r="F150" s="4" t="s">
        <v>518</v>
      </c>
      <c r="G150" s="4" t="s">
        <v>515</v>
      </c>
    </row>
    <row r="151" spans="1:7" ht="15.75" customHeight="1" x14ac:dyDescent="0.2">
      <c r="A151" s="4" t="s">
        <v>92</v>
      </c>
      <c r="B151" s="4" t="s">
        <v>2</v>
      </c>
      <c r="C151" s="4" t="s">
        <v>180</v>
      </c>
      <c r="D151" s="4" t="s">
        <v>520</v>
      </c>
      <c r="E151" s="5" t="s">
        <v>521</v>
      </c>
      <c r="F151" s="4" t="s">
        <v>520</v>
      </c>
      <c r="G151" s="4" t="s">
        <v>515</v>
      </c>
    </row>
    <row r="152" spans="1:7" ht="15.75" customHeight="1" x14ac:dyDescent="0.2">
      <c r="A152" s="4" t="s">
        <v>54</v>
      </c>
      <c r="B152" s="4" t="s">
        <v>2</v>
      </c>
      <c r="C152" s="4" t="s">
        <v>194</v>
      </c>
      <c r="D152" s="4" t="s">
        <v>522</v>
      </c>
      <c r="E152" s="5" t="s">
        <v>523</v>
      </c>
      <c r="F152" s="4" t="s">
        <v>518</v>
      </c>
      <c r="G152" s="4" t="s">
        <v>515</v>
      </c>
    </row>
    <row r="153" spans="1:7" ht="15.75" customHeight="1" x14ac:dyDescent="0.2">
      <c r="A153" s="4" t="s">
        <v>23</v>
      </c>
      <c r="B153" s="4" t="s">
        <v>2</v>
      </c>
      <c r="C153" s="4" t="s">
        <v>197</v>
      </c>
      <c r="D153" s="4" t="s">
        <v>524</v>
      </c>
      <c r="E153" s="5" t="s">
        <v>525</v>
      </c>
      <c r="F153" s="4" t="s">
        <v>520</v>
      </c>
      <c r="G153" s="4" t="s">
        <v>515</v>
      </c>
    </row>
    <row r="154" spans="1:7" ht="15.75" customHeight="1" x14ac:dyDescent="0.2">
      <c r="A154" s="4" t="s">
        <v>33</v>
      </c>
      <c r="B154" s="4" t="s">
        <v>2</v>
      </c>
      <c r="C154" s="4" t="s">
        <v>200</v>
      </c>
      <c r="D154" s="4" t="s">
        <v>526</v>
      </c>
      <c r="E154" s="4" t="s">
        <v>527</v>
      </c>
      <c r="F154" s="4" t="s">
        <v>518</v>
      </c>
      <c r="G154" s="4" t="s">
        <v>515</v>
      </c>
    </row>
    <row r="155" spans="1:7" ht="15.75" customHeight="1" x14ac:dyDescent="0.2">
      <c r="A155" s="4" t="s">
        <v>58</v>
      </c>
      <c r="B155" s="4" t="s">
        <v>2</v>
      </c>
      <c r="C155" s="4" t="s">
        <v>203</v>
      </c>
      <c r="D155" s="4" t="s">
        <v>528</v>
      </c>
      <c r="E155" s="5" t="s">
        <v>529</v>
      </c>
      <c r="F155" s="4" t="s">
        <v>520</v>
      </c>
      <c r="G155" s="4" t="s">
        <v>515</v>
      </c>
    </row>
    <row r="156" spans="1:7" ht="15.75" customHeight="1" x14ac:dyDescent="0.2">
      <c r="A156" s="4" t="s">
        <v>49</v>
      </c>
      <c r="B156" s="4" t="s">
        <v>2</v>
      </c>
      <c r="C156" s="4" t="s">
        <v>206</v>
      </c>
      <c r="D156" s="4" t="s">
        <v>530</v>
      </c>
      <c r="E156" s="5" t="s">
        <v>531</v>
      </c>
      <c r="F156" s="4" t="s">
        <v>518</v>
      </c>
      <c r="G156" s="4" t="s">
        <v>515</v>
      </c>
    </row>
    <row r="157" spans="1:7" ht="15.75" customHeight="1" x14ac:dyDescent="0.2">
      <c r="A157" s="4" t="s">
        <v>19</v>
      </c>
      <c r="B157" s="4" t="s">
        <v>2</v>
      </c>
      <c r="C157" s="4" t="s">
        <v>209</v>
      </c>
      <c r="D157" s="4" t="s">
        <v>532</v>
      </c>
      <c r="E157" s="5" t="s">
        <v>533</v>
      </c>
      <c r="F157" s="4" t="s">
        <v>520</v>
      </c>
      <c r="G157" s="4" t="s">
        <v>515</v>
      </c>
    </row>
    <row r="158" spans="1:7" ht="15.75" customHeight="1" x14ac:dyDescent="0.2">
      <c r="A158" s="4" t="s">
        <v>14</v>
      </c>
      <c r="B158" s="4" t="s">
        <v>2</v>
      </c>
      <c r="C158" s="4" t="s">
        <v>212</v>
      </c>
      <c r="D158" s="4" t="s">
        <v>534</v>
      </c>
      <c r="E158" s="4" t="s">
        <v>535</v>
      </c>
      <c r="F158" s="4" t="s">
        <v>518</v>
      </c>
      <c r="G158" s="4" t="s">
        <v>515</v>
      </c>
    </row>
    <row r="159" spans="1:7" ht="15.75" customHeight="1" x14ac:dyDescent="0.2">
      <c r="A159" s="4" t="s">
        <v>32</v>
      </c>
      <c r="B159" s="4" t="s">
        <v>2</v>
      </c>
      <c r="C159" s="4" t="s">
        <v>215</v>
      </c>
      <c r="D159" s="4" t="s">
        <v>536</v>
      </c>
      <c r="E159" s="4" t="s">
        <v>537</v>
      </c>
      <c r="F159" s="4" t="s">
        <v>520</v>
      </c>
      <c r="G159" s="4" t="s">
        <v>515</v>
      </c>
    </row>
    <row r="160" spans="1:7" ht="15.75" customHeight="1" x14ac:dyDescent="0.2">
      <c r="A160" s="4" t="s">
        <v>66</v>
      </c>
      <c r="B160" s="4" t="s">
        <v>2</v>
      </c>
      <c r="C160" s="4" t="s">
        <v>218</v>
      </c>
      <c r="D160" s="4" t="s">
        <v>538</v>
      </c>
      <c r="E160" s="4" t="s">
        <v>539</v>
      </c>
      <c r="F160" s="4" t="s">
        <v>518</v>
      </c>
      <c r="G160" s="4" t="s">
        <v>515</v>
      </c>
    </row>
    <row r="161" spans="1:7" ht="15.75" customHeight="1" x14ac:dyDescent="0.2">
      <c r="A161" s="4" t="s">
        <v>34</v>
      </c>
      <c r="B161" s="4" t="s">
        <v>2</v>
      </c>
      <c r="C161" s="4" t="s">
        <v>221</v>
      </c>
      <c r="D161" s="4" t="s">
        <v>540</v>
      </c>
      <c r="E161" s="4" t="s">
        <v>541</v>
      </c>
      <c r="F161" s="4" t="s">
        <v>520</v>
      </c>
      <c r="G161" s="4" t="s">
        <v>515</v>
      </c>
    </row>
    <row r="162" spans="1:7" ht="15.75" customHeight="1" x14ac:dyDescent="0.2">
      <c r="A162" s="4" t="s">
        <v>59</v>
      </c>
      <c r="B162" s="4" t="s">
        <v>2</v>
      </c>
      <c r="C162" s="4" t="s">
        <v>224</v>
      </c>
      <c r="D162" s="4" t="s">
        <v>542</v>
      </c>
      <c r="E162" s="5" t="s">
        <v>543</v>
      </c>
      <c r="F162" s="4" t="s">
        <v>518</v>
      </c>
      <c r="G162" s="4" t="s">
        <v>515</v>
      </c>
    </row>
    <row r="163" spans="1:7" ht="15.75" customHeight="1" x14ac:dyDescent="0.2">
      <c r="A163" s="4" t="s">
        <v>3</v>
      </c>
      <c r="B163" s="4" t="s">
        <v>2</v>
      </c>
      <c r="C163" s="4" t="s">
        <v>227</v>
      </c>
      <c r="D163" s="4" t="s">
        <v>544</v>
      </c>
      <c r="E163" s="5" t="s">
        <v>545</v>
      </c>
      <c r="F163" s="4" t="s">
        <v>520</v>
      </c>
      <c r="G163" s="4" t="s">
        <v>515</v>
      </c>
    </row>
    <row r="164" spans="1:7" ht="15.75" customHeight="1" x14ac:dyDescent="0.2">
      <c r="A164" s="4" t="s">
        <v>15</v>
      </c>
      <c r="B164" s="4" t="s">
        <v>2</v>
      </c>
      <c r="C164" s="4" t="s">
        <v>230</v>
      </c>
      <c r="D164" s="4" t="s">
        <v>546</v>
      </c>
      <c r="E164" s="5" t="s">
        <v>547</v>
      </c>
      <c r="F164" s="4" t="s">
        <v>518</v>
      </c>
      <c r="G164" s="4" t="s">
        <v>515</v>
      </c>
    </row>
    <row r="165" spans="1:7" ht="15.75" customHeight="1" x14ac:dyDescent="0.2">
      <c r="A165" s="4" t="s">
        <v>45</v>
      </c>
      <c r="B165" s="4" t="s">
        <v>2</v>
      </c>
      <c r="C165" s="4" t="s">
        <v>233</v>
      </c>
      <c r="D165" s="4" t="s">
        <v>548</v>
      </c>
      <c r="E165" s="5" t="s">
        <v>549</v>
      </c>
      <c r="F165" s="4" t="s">
        <v>520</v>
      </c>
      <c r="G165" s="4" t="s">
        <v>515</v>
      </c>
    </row>
    <row r="166" spans="1:7" ht="15.75" customHeight="1" x14ac:dyDescent="0.2"/>
    <row r="167" spans="1:7" ht="15.75" customHeight="1" x14ac:dyDescent="0.2"/>
    <row r="168" spans="1:7" ht="15.75" customHeight="1" x14ac:dyDescent="0.2"/>
    <row r="169" spans="1:7" ht="15.75" customHeight="1" x14ac:dyDescent="0.2"/>
    <row r="170" spans="1:7" ht="15.75" customHeight="1" x14ac:dyDescent="0.2"/>
    <row r="171" spans="1:7" ht="15.75" customHeight="1" x14ac:dyDescent="0.2"/>
    <row r="172" spans="1:7" ht="15.75" customHeight="1" x14ac:dyDescent="0.2"/>
    <row r="173" spans="1:7" ht="15.75" customHeight="1" x14ac:dyDescent="0.2"/>
    <row r="174" spans="1:7" ht="15.75" customHeight="1" x14ac:dyDescent="0.2"/>
    <row r="175" spans="1:7" ht="15.75" customHeight="1" x14ac:dyDescent="0.2"/>
    <row r="176" spans="1:7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dataValidations count="1">
    <dataValidation type="list" allowBlank="1" showDropDown="1" showErrorMessage="1" sqref="B2:B165" xr:uid="{00000000-0002-0000-0100-000000000000}">
      <formula1>"DB1,DB2,DB3,DB4,นำจ่ายรถยนต์"</formula1>
    </dataValidation>
  </dataValidations>
  <hyperlinks>
    <hyperlink ref="E2" r:id="rId1" xr:uid="{00000000-0004-0000-0100-000000000000}"/>
    <hyperlink ref="E4" r:id="rId2" xr:uid="{00000000-0004-0000-0100-000001000000}"/>
    <hyperlink ref="E6" r:id="rId3" xr:uid="{00000000-0004-0000-0100-000002000000}"/>
    <hyperlink ref="E7" r:id="rId4" xr:uid="{00000000-0004-0000-0100-000003000000}"/>
    <hyperlink ref="E8" r:id="rId5" xr:uid="{00000000-0004-0000-0100-000004000000}"/>
    <hyperlink ref="E9" r:id="rId6" xr:uid="{00000000-0004-0000-0100-000005000000}"/>
    <hyperlink ref="E11" r:id="rId7" xr:uid="{00000000-0004-0000-0100-000006000000}"/>
    <hyperlink ref="E12" r:id="rId8" xr:uid="{00000000-0004-0000-0100-000007000000}"/>
    <hyperlink ref="E14" r:id="rId9" xr:uid="{00000000-0004-0000-0100-000008000000}"/>
    <hyperlink ref="E15" r:id="rId10" xr:uid="{00000000-0004-0000-0100-000009000000}"/>
    <hyperlink ref="E16" r:id="rId11" xr:uid="{00000000-0004-0000-0100-00000A000000}"/>
    <hyperlink ref="E17" r:id="rId12" xr:uid="{00000000-0004-0000-0100-00000B000000}"/>
    <hyperlink ref="E18" r:id="rId13" xr:uid="{00000000-0004-0000-0100-00000C000000}"/>
    <hyperlink ref="E21" r:id="rId14" xr:uid="{00000000-0004-0000-0100-00000D000000}"/>
    <hyperlink ref="E22" r:id="rId15" xr:uid="{00000000-0004-0000-0100-00000E000000}"/>
    <hyperlink ref="E23" r:id="rId16" xr:uid="{00000000-0004-0000-0100-00000F000000}"/>
    <hyperlink ref="E24" r:id="rId17" xr:uid="{00000000-0004-0000-0100-000010000000}"/>
    <hyperlink ref="E27" r:id="rId18" xr:uid="{00000000-0004-0000-0100-000011000000}"/>
    <hyperlink ref="E28" r:id="rId19" xr:uid="{00000000-0004-0000-0100-000012000000}"/>
    <hyperlink ref="E29" r:id="rId20" xr:uid="{00000000-0004-0000-0100-000013000000}"/>
    <hyperlink ref="E37" r:id="rId21" xr:uid="{00000000-0004-0000-0100-000014000000}"/>
    <hyperlink ref="E39" r:id="rId22" xr:uid="{00000000-0004-0000-0100-000015000000}"/>
    <hyperlink ref="E41" r:id="rId23" xr:uid="{00000000-0004-0000-0100-000016000000}"/>
    <hyperlink ref="E43" r:id="rId24" xr:uid="{00000000-0004-0000-0100-000017000000}"/>
    <hyperlink ref="E44" r:id="rId25" xr:uid="{00000000-0004-0000-0100-000018000000}"/>
    <hyperlink ref="E46" r:id="rId26" xr:uid="{00000000-0004-0000-0100-000019000000}"/>
    <hyperlink ref="E47" r:id="rId27" xr:uid="{00000000-0004-0000-0100-00001A000000}"/>
    <hyperlink ref="E48" r:id="rId28" xr:uid="{00000000-0004-0000-0100-00001B000000}"/>
    <hyperlink ref="E51" r:id="rId29" xr:uid="{00000000-0004-0000-0100-00001C000000}"/>
    <hyperlink ref="E55" r:id="rId30" xr:uid="{00000000-0004-0000-0100-00001D000000}"/>
    <hyperlink ref="E56" r:id="rId31" xr:uid="{00000000-0004-0000-0100-00001E000000}"/>
    <hyperlink ref="E57" r:id="rId32" xr:uid="{00000000-0004-0000-0100-00001F000000}"/>
    <hyperlink ref="E58" r:id="rId33" xr:uid="{00000000-0004-0000-0100-000020000000}"/>
    <hyperlink ref="E59" r:id="rId34" xr:uid="{00000000-0004-0000-0100-000021000000}"/>
    <hyperlink ref="E60" r:id="rId35" xr:uid="{00000000-0004-0000-0100-000022000000}"/>
    <hyperlink ref="E61" r:id="rId36" xr:uid="{00000000-0004-0000-0100-000023000000}"/>
    <hyperlink ref="E62" r:id="rId37" xr:uid="{00000000-0004-0000-0100-000024000000}"/>
    <hyperlink ref="E65" r:id="rId38" xr:uid="{00000000-0004-0000-0100-000025000000}"/>
    <hyperlink ref="E66" r:id="rId39" xr:uid="{00000000-0004-0000-0100-000026000000}"/>
    <hyperlink ref="E72" r:id="rId40" xr:uid="{00000000-0004-0000-0100-000027000000}"/>
    <hyperlink ref="E73" r:id="rId41" xr:uid="{00000000-0004-0000-0100-000028000000}"/>
    <hyperlink ref="E75" r:id="rId42" xr:uid="{00000000-0004-0000-0100-000029000000}"/>
    <hyperlink ref="E78" r:id="rId43" xr:uid="{00000000-0004-0000-0100-00002A000000}"/>
    <hyperlink ref="E79" r:id="rId44" xr:uid="{00000000-0004-0000-0100-00002B000000}"/>
    <hyperlink ref="E81" r:id="rId45" xr:uid="{00000000-0004-0000-0100-00002C000000}"/>
    <hyperlink ref="E82" r:id="rId46" xr:uid="{00000000-0004-0000-0100-00002D000000}"/>
    <hyperlink ref="E84" r:id="rId47" xr:uid="{00000000-0004-0000-0100-00002E000000}"/>
    <hyperlink ref="E85" r:id="rId48" xr:uid="{00000000-0004-0000-0100-00002F000000}"/>
    <hyperlink ref="E88" r:id="rId49" xr:uid="{00000000-0004-0000-0100-000030000000}"/>
    <hyperlink ref="E89" r:id="rId50" xr:uid="{00000000-0004-0000-0100-000031000000}"/>
    <hyperlink ref="E90" r:id="rId51" xr:uid="{00000000-0004-0000-0100-000032000000}"/>
    <hyperlink ref="E92" r:id="rId52" xr:uid="{00000000-0004-0000-0100-000033000000}"/>
    <hyperlink ref="E94" r:id="rId53" xr:uid="{00000000-0004-0000-0100-000034000000}"/>
    <hyperlink ref="E96" r:id="rId54" xr:uid="{00000000-0004-0000-0100-000035000000}"/>
    <hyperlink ref="E100" r:id="rId55" xr:uid="{00000000-0004-0000-0100-000036000000}"/>
    <hyperlink ref="E103" r:id="rId56" xr:uid="{00000000-0004-0000-0100-000037000000}"/>
    <hyperlink ref="E104" r:id="rId57" xr:uid="{00000000-0004-0000-0100-000038000000}"/>
    <hyperlink ref="E105" r:id="rId58" xr:uid="{00000000-0004-0000-0100-000039000000}"/>
    <hyperlink ref="E106" r:id="rId59" xr:uid="{00000000-0004-0000-0100-00003A000000}"/>
    <hyperlink ref="E107" r:id="rId60" xr:uid="{00000000-0004-0000-0100-00003B000000}"/>
    <hyperlink ref="E108" r:id="rId61" xr:uid="{00000000-0004-0000-0100-00003C000000}"/>
    <hyperlink ref="E109" r:id="rId62" xr:uid="{00000000-0004-0000-0100-00003D000000}"/>
    <hyperlink ref="E110" r:id="rId63" xr:uid="{00000000-0004-0000-0100-00003E000000}"/>
    <hyperlink ref="E111" r:id="rId64" xr:uid="{00000000-0004-0000-0100-00003F000000}"/>
    <hyperlink ref="E112" r:id="rId65" xr:uid="{00000000-0004-0000-0100-000040000000}"/>
    <hyperlink ref="E115" r:id="rId66" xr:uid="{00000000-0004-0000-0100-000041000000}"/>
    <hyperlink ref="E116" r:id="rId67" xr:uid="{00000000-0004-0000-0100-000042000000}"/>
    <hyperlink ref="E117" r:id="rId68" xr:uid="{00000000-0004-0000-0100-000043000000}"/>
    <hyperlink ref="E118" r:id="rId69" xr:uid="{00000000-0004-0000-0100-000044000000}"/>
    <hyperlink ref="E120" r:id="rId70" xr:uid="{00000000-0004-0000-0100-000045000000}"/>
    <hyperlink ref="E121" r:id="rId71" xr:uid="{00000000-0004-0000-0100-000046000000}"/>
    <hyperlink ref="E122" r:id="rId72" xr:uid="{00000000-0004-0000-0100-000047000000}"/>
    <hyperlink ref="E123" r:id="rId73" xr:uid="{00000000-0004-0000-0100-000048000000}"/>
    <hyperlink ref="E125" r:id="rId74" xr:uid="{00000000-0004-0000-0100-000049000000}"/>
    <hyperlink ref="E126" r:id="rId75" xr:uid="{00000000-0004-0000-0100-00004A000000}"/>
    <hyperlink ref="E128" r:id="rId76" xr:uid="{00000000-0004-0000-0100-00004B000000}"/>
    <hyperlink ref="E129" r:id="rId77" xr:uid="{00000000-0004-0000-0100-00004C000000}"/>
    <hyperlink ref="E131" r:id="rId78" xr:uid="{00000000-0004-0000-0100-00004D000000}"/>
    <hyperlink ref="E133" r:id="rId79" xr:uid="{00000000-0004-0000-0100-00004E000000}"/>
    <hyperlink ref="E134" r:id="rId80" xr:uid="{00000000-0004-0000-0100-00004F000000}"/>
    <hyperlink ref="E135" r:id="rId81" xr:uid="{00000000-0004-0000-0100-000050000000}"/>
    <hyperlink ref="E136" r:id="rId82" xr:uid="{00000000-0004-0000-0100-000051000000}"/>
    <hyperlink ref="E137" r:id="rId83" xr:uid="{00000000-0004-0000-0100-000052000000}"/>
    <hyperlink ref="E139" r:id="rId84" xr:uid="{00000000-0004-0000-0100-000053000000}"/>
    <hyperlink ref="E140" r:id="rId85" xr:uid="{00000000-0004-0000-0100-000054000000}"/>
    <hyperlink ref="E141" r:id="rId86" xr:uid="{00000000-0004-0000-0100-000055000000}"/>
    <hyperlink ref="E143" r:id="rId87" xr:uid="{00000000-0004-0000-0100-000056000000}"/>
    <hyperlink ref="E144" r:id="rId88" xr:uid="{00000000-0004-0000-0100-000057000000}"/>
    <hyperlink ref="E145" r:id="rId89" xr:uid="{00000000-0004-0000-0100-000058000000}"/>
    <hyperlink ref="E147" r:id="rId90" xr:uid="{00000000-0004-0000-0100-000059000000}"/>
    <hyperlink ref="E150" r:id="rId91" xr:uid="{00000000-0004-0000-0100-00005A000000}"/>
    <hyperlink ref="E151" r:id="rId92" xr:uid="{00000000-0004-0000-0100-00005B000000}"/>
    <hyperlink ref="E152" r:id="rId93" xr:uid="{00000000-0004-0000-0100-00005C000000}"/>
    <hyperlink ref="E153" r:id="rId94" xr:uid="{00000000-0004-0000-0100-00005D000000}"/>
    <hyperlink ref="E155" r:id="rId95" xr:uid="{00000000-0004-0000-0100-00005E000000}"/>
    <hyperlink ref="E156" r:id="rId96" xr:uid="{00000000-0004-0000-0100-00005F000000}"/>
    <hyperlink ref="E157" r:id="rId97" xr:uid="{00000000-0004-0000-0100-000060000000}"/>
    <hyperlink ref="E162" r:id="rId98" xr:uid="{00000000-0004-0000-0100-000061000000}"/>
    <hyperlink ref="E163" r:id="rId99" xr:uid="{00000000-0004-0000-0100-000062000000}"/>
    <hyperlink ref="E164" r:id="rId100" xr:uid="{00000000-0004-0000-0100-000063000000}"/>
    <hyperlink ref="E165" r:id="rId101" xr:uid="{00000000-0004-0000-0100-000064000000}"/>
  </hyperlinks>
  <pageMargins left="0.7" right="0.7" top="0.75" bottom="0.75" header="0.3" footer="0.3"/>
  <tableParts count="1">
    <tablePart r:id="rId10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1000"/>
  <sheetViews>
    <sheetView workbookViewId="0"/>
  </sheetViews>
  <sheetFormatPr defaultColWidth="12.5703125" defaultRowHeight="15" customHeight="1" x14ac:dyDescent="0.2"/>
  <cols>
    <col min="1" max="1" width="12.5703125" customWidth="1"/>
    <col min="2" max="2" width="15.7109375" customWidth="1"/>
    <col min="3" max="6" width="12.5703125" customWidth="1"/>
  </cols>
  <sheetData>
    <row r="1" spans="1:2" ht="15.75" customHeight="1" x14ac:dyDescent="0.2">
      <c r="A1" s="3" t="s">
        <v>0</v>
      </c>
      <c r="B1" s="3" t="s">
        <v>173</v>
      </c>
    </row>
    <row r="2" spans="1:2" ht="15.75" customHeight="1" x14ac:dyDescent="0.2">
      <c r="A2" s="1" t="s">
        <v>5</v>
      </c>
      <c r="B2" s="1" t="s">
        <v>175</v>
      </c>
    </row>
    <row r="3" spans="1:2" ht="15.75" customHeight="1" x14ac:dyDescent="0.2">
      <c r="A3" s="1" t="s">
        <v>7</v>
      </c>
      <c r="B3" s="1" t="s">
        <v>303</v>
      </c>
    </row>
    <row r="4" spans="1:2" ht="15.75" customHeight="1" x14ac:dyDescent="0.2">
      <c r="A4" s="1" t="s">
        <v>4</v>
      </c>
      <c r="B4" s="1" t="s">
        <v>550</v>
      </c>
    </row>
    <row r="5" spans="1:2" ht="15.75" customHeight="1" x14ac:dyDescent="0.2">
      <c r="A5" s="1" t="s">
        <v>11</v>
      </c>
      <c r="B5" s="1" t="s">
        <v>456</v>
      </c>
    </row>
    <row r="6" spans="1:2" ht="15.75" customHeight="1" x14ac:dyDescent="0.2">
      <c r="A6" s="1" t="s">
        <v>2</v>
      </c>
      <c r="B6" s="1" t="s">
        <v>515</v>
      </c>
    </row>
    <row r="7" spans="1:2" ht="15.75" customHeight="1" x14ac:dyDescent="0.2">
      <c r="A7" s="1"/>
      <c r="B7" s="1"/>
    </row>
    <row r="8" spans="1:2" ht="15.75" customHeight="1" x14ac:dyDescent="0.2">
      <c r="A8" s="1"/>
      <c r="B8" s="1"/>
    </row>
    <row r="9" spans="1:2" ht="15.75" customHeight="1" x14ac:dyDescent="0.2">
      <c r="A9" s="1"/>
      <c r="B9" s="1"/>
    </row>
    <row r="10" spans="1:2" ht="15.75" customHeight="1" x14ac:dyDescent="0.2">
      <c r="A10" s="1"/>
      <c r="B10" s="1"/>
    </row>
    <row r="11" spans="1:2" ht="15.75" customHeight="1" x14ac:dyDescent="0.2">
      <c r="A11" s="1"/>
      <c r="B11" s="1"/>
    </row>
    <row r="12" spans="1:2" ht="15.75" customHeight="1" x14ac:dyDescent="0.2">
      <c r="A12" s="1"/>
      <c r="B12" s="1"/>
    </row>
    <row r="13" spans="1:2" ht="15.75" customHeight="1" x14ac:dyDescent="0.2">
      <c r="A13" s="1"/>
      <c r="B13" s="1"/>
    </row>
    <row r="14" spans="1:2" ht="15.75" customHeight="1" x14ac:dyDescent="0.2">
      <c r="A14" s="1"/>
      <c r="B14" s="1"/>
    </row>
    <row r="15" spans="1:2" ht="15.75" customHeight="1" x14ac:dyDescent="0.2">
      <c r="A15" s="1"/>
      <c r="B15" s="1"/>
    </row>
    <row r="16" spans="1:2" ht="15.75" customHeight="1" x14ac:dyDescent="0.2">
      <c r="A16" s="1"/>
      <c r="B16" s="1"/>
    </row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 x14ac:dyDescent="0.2"/>
  <cols>
    <col min="1" max="1" width="16.5703125" customWidth="1"/>
    <col min="2" max="6" width="12.5703125" customWidth="1"/>
  </cols>
  <sheetData>
    <row r="1" spans="1:22" ht="15.75" customHeight="1" x14ac:dyDescent="0.2">
      <c r="A1" s="7" t="str">
        <f ca="1">IFERROR(__xludf.DUMMYFUNCTION("IMPORTRANGE(""https://docs.google.com/spreadsheets/d/188JL2ZmdWrJCJn7mobDX7ONeGRUBIakqM_v9RJ6Gi-c/edit#gid=679986993"",""A:Z"")"),"ประทับเวลา")</f>
        <v>ประทับเวลา</v>
      </c>
      <c r="B1" s="1" t="str">
        <f ca="1">IFERROR(__xludf.DUMMYFUNCTION("""COMPUTED_VALUE"""),"ช่องทางรับเรื่อง")</f>
        <v>ช่องทางรับเรื่อง</v>
      </c>
      <c r="C1" s="1" t="str">
        <f ca="1">IFERROR(__xludf.DUMMYFUNCTION("""COMPUTED_VALUE"""),"หมายเลขสิ่งของ")</f>
        <v>หมายเลขสิ่งของ</v>
      </c>
      <c r="D1" s="1" t="str">
        <f ca="1">IFERROR(__xludf.DUMMYFUNCTION("""COMPUTED_VALUE"""),"ชื่อผู้ติดต่อ")</f>
        <v>ชื่อผู้ติดต่อ</v>
      </c>
      <c r="E1" s="1" t="str">
        <f ca="1">IFERROR(__xludf.DUMMYFUNCTION("""COMPUTED_VALUE"""),"หมายเลขโทรศัพท์ผู้รับ")</f>
        <v>หมายเลขโทรศัพท์ผู้รับ</v>
      </c>
      <c r="F1" s="1" t="str">
        <f ca="1">IFERROR(__xludf.DUMMYFUNCTION("""COMPUTED_VALUE"""),"ที่อยู่")</f>
        <v>ที่อยู่</v>
      </c>
      <c r="G1" s="1" t="str">
        <f ca="1">IFERROR(__xludf.DUMMYFUNCTION("""COMPUTED_VALUE"""),"เรื่องที่แจ้ง")</f>
        <v>เรื่องที่แจ้ง</v>
      </c>
      <c r="H1" s="1" t="str">
        <f ca="1">IFERROR(__xludf.DUMMYFUNCTION("""COMPUTED_VALUE"""),"รายละเอียดเพิ่มเติม")</f>
        <v>รายละเอียดเพิ่มเติม</v>
      </c>
      <c r="I1" s="1" t="str">
        <f ca="1">IFERROR(__xludf.DUMMYFUNCTION("""COMPUTED_VALUE"""),"ผลการดำเนินการ")</f>
        <v>ผลการดำเนินการ</v>
      </c>
      <c r="J1" s="1" t="str">
        <f ca="1">IFERROR(__xludf.DUMMYFUNCTION("""COMPUTED_VALUE"""),"แผนก")</f>
        <v>แผนก</v>
      </c>
      <c r="K1" s="1" t="str">
        <f ca="1">IFERROR(__xludf.DUMMYFUNCTION("""COMPUTED_VALUE"""),"ด้าน")</f>
        <v>ด้าน</v>
      </c>
      <c r="L1" s="1"/>
      <c r="M1" s="1"/>
      <c r="N1" s="1"/>
      <c r="O1" s="1" t="str">
        <f ca="1">IFERROR(__xludf.DUMMYFUNCTION("""COMPUTED_VALUE"""),"")</f>
        <v/>
      </c>
      <c r="P1" s="1" t="str">
        <f ca="1">IFERROR(__xludf.DUMMYFUNCTION("""COMPUTED_VALUE"""),"")</f>
        <v/>
      </c>
      <c r="Q1" s="1"/>
      <c r="R1" s="1"/>
      <c r="S1" s="1"/>
      <c r="T1" s="1"/>
      <c r="U1" s="1"/>
      <c r="V1" s="1"/>
    </row>
    <row r="2" spans="1:22" ht="15.75" customHeight="1" x14ac:dyDescent="0.2">
      <c r="A2" s="7">
        <f ca="1">IFERROR(__xludf.DUMMYFUNCTION("""COMPUTED_VALUE"""),243568.565567129)</f>
        <v>243568.565567129</v>
      </c>
      <c r="B2" s="1" t="str">
        <f ca="1">IFERROR(__xludf.DUMMYFUNCTION("""COMPUTED_VALUE"""),"CEC")</f>
        <v>CEC</v>
      </c>
      <c r="C2" s="1" t="str">
        <f ca="1">IFERROR(__xludf.DUMMYFUNCTION("""COMPUTED_VALUE"""),"ed747342466th")</f>
        <v>ed747342466th</v>
      </c>
      <c r="D2" s="1" t="str">
        <f ca="1">IFERROR(__xludf.DUMMYFUNCTION("""COMPUTED_VALUE"""),"ประภาส")</f>
        <v>ประภาส</v>
      </c>
      <c r="E2" s="1" t="str">
        <f ca="1">IFERROR(__xludf.DUMMYFUNCTION("""COMPUTED_VALUE"""),"0951324509")</f>
        <v>0951324509</v>
      </c>
      <c r="F2" s="1" t="str">
        <f ca="1">IFERROR(__xludf.DUMMYFUNCTION("""COMPUTED_VALUE"""),"59/221  นิรันทร์คอนโดตึกd พึ่งมี 52")</f>
        <v>59/221  นิรันทร์คอนโดตึกd พึ่งมี 52</v>
      </c>
      <c r="G2" s="1" t="str">
        <f ca="1">IFERROR(__xludf.DUMMYFUNCTION("""COMPUTED_VALUE"""),"นำจ่ายใหม่")</f>
        <v>นำจ่ายใหม่</v>
      </c>
      <c r="H2" s="1" t="str">
        <f ca="1">IFERROR(__xludf.DUMMYFUNCTION("""COMPUTED_VALUE"""),"ไม่เลขตามจ่าหน้า")</f>
        <v>ไม่เลขตามจ่าหน้า</v>
      </c>
      <c r="I2" s="1" t="str">
        <f ca="1">IFERROR(__xludf.DUMMYFUNCTION("""COMPUTED_VALUE"""),"แจ้งเจ้าหน้าผู้เกียวข้องแล้ว")</f>
        <v>แจ้งเจ้าหน้าผู้เกียวข้องแล้ว</v>
      </c>
      <c r="J2" s="1" t="str">
        <f ca="1">IFERROR(__xludf.DUMMYFUNCTION("""COMPUTED_VALUE"""),"DB3")</f>
        <v>DB3</v>
      </c>
      <c r="K2" s="1" t="str">
        <f ca="1">IFERROR(__xludf.DUMMYFUNCTION("""COMPUTED_VALUE"""),"EMS10260EVD3006")</f>
        <v>EMS10260EVD3006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5.75" customHeight="1" x14ac:dyDescent="0.2">
      <c r="A3" s="7">
        <f ca="1">IFERROR(__xludf.DUMMYFUNCTION("""COMPUTED_VALUE"""),45241.5682373842)</f>
        <v>45241.568237384199</v>
      </c>
      <c r="B3" s="1" t="str">
        <f ca="1">IFERROR(__xludf.DUMMYFUNCTION("""COMPUTED_VALUE"""),"CEC")</f>
        <v>CEC</v>
      </c>
      <c r="C3" s="1" t="str">
        <f ca="1">IFERROR(__xludf.DUMMYFUNCTION("""COMPUTED_VALUE"""),"ed904352435th")</f>
        <v>ed904352435th</v>
      </c>
      <c r="D3" s="1" t="str">
        <f ca="1">IFERROR(__xludf.DUMMYFUNCTION("""COMPUTED_VALUE"""),"ramenefu ")</f>
        <v xml:space="preserve">ramenefu </v>
      </c>
      <c r="E3" s="1" t="str">
        <f ca="1">IFERROR(__xludf.DUMMYFUNCTION("""COMPUTED_VALUE"""),"0928955283")</f>
        <v>0928955283</v>
      </c>
      <c r="F3" s="1" t="str">
        <f ca="1">IFERROR(__xludf.DUMMYFUNCTION("""COMPUTED_VALUE""")," 58  บางนาตราด 23")</f>
        <v xml:space="preserve"> 58  บางนาตราด 23</v>
      </c>
      <c r="G3" s="1" t="str">
        <f ca="1">IFERROR(__xludf.DUMMYFUNCTION("""COMPUTED_VALUE"""),"นำจ่ายใหม่")</f>
        <v>นำจ่ายใหม่</v>
      </c>
      <c r="H3" s="1" t="str">
        <f ca="1">IFERROR(__xludf.DUMMYFUNCTION("""COMPUTED_VALUE"""),"ผู้รัืบติดต่อขอรับเอง")</f>
        <v>ผู้รัืบติดต่อขอรับเอง</v>
      </c>
      <c r="I3" s="1" t="str">
        <f ca="1">IFERROR(__xludf.DUMMYFUNCTION("""COMPUTED_VALUE"""),"แจ้งเจ้าหน้าผู้เกี่ยวข้องแล้ว(ซนจ)")</f>
        <v>แจ้งเจ้าหน้าผู้เกี่ยวข้องแล้ว(ซนจ)</v>
      </c>
      <c r="J3" s="1" t="str">
        <f ca="1">IFERROR(__xludf.DUMMYFUNCTION("""COMPUTED_VALUE"""),"DB2")</f>
        <v>DB2</v>
      </c>
      <c r="K3" s="1" t="str">
        <f ca="1">IFERROR(__xludf.DUMMYFUNCTION("""COMPUTED_VALUE"""),"EMS10260EVD2018")</f>
        <v>EMS10260EVD2018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5.75" customHeight="1" x14ac:dyDescent="0.2">
      <c r="A4" s="7">
        <f ca="1">IFERROR(__xludf.DUMMYFUNCTION("""COMPUTED_VALUE"""),45241.5971186111)</f>
        <v>45241.597118611098</v>
      </c>
      <c r="B4" s="1" t="str">
        <f ca="1">IFERROR(__xludf.DUMMYFUNCTION("""COMPUTED_VALUE"""),"CEC")</f>
        <v>CEC</v>
      </c>
      <c r="C4" s="1" t="str">
        <f ca="1">IFERROR(__xludf.DUMMYFUNCTION("""COMPUTED_VALUE"""),"eb516384179th")</f>
        <v>eb516384179th</v>
      </c>
      <c r="D4" s="1" t="str">
        <f ca="1">IFERROR(__xludf.DUMMYFUNCTION("""COMPUTED_VALUE"""),"นพรัตน์")</f>
        <v>นพรัตน์</v>
      </c>
      <c r="E4" s="1" t="str">
        <f ca="1">IFERROR(__xludf.DUMMYFUNCTION("""COMPUTED_VALUE"""),"0928455492")</f>
        <v>0928455492</v>
      </c>
      <c r="F4" s="1" t="str">
        <f ca="1">IFERROR(__xludf.DUMMYFUNCTION("""COMPUTED_VALUE"""),"40  บางนาตราด 30")</f>
        <v>40  บางนาตราด 30</v>
      </c>
      <c r="G4" s="1" t="str">
        <f ca="1">IFERROR(__xludf.DUMMYFUNCTION("""COMPUTED_VALUE"""),"ตรวจสอบการนำจ่าย")</f>
        <v>ตรวจสอบการนำจ่าย</v>
      </c>
      <c r="H4" s="1" t="str">
        <f ca="1">IFERROR(__xludf.DUMMYFUNCTION("""COMPUTED_VALUE"""),"มีการนำจ่ายแต่ผู้รับไม่ได้รับของ")</f>
        <v>มีการนำจ่ายแต่ผู้รับไม่ได้รับของ</v>
      </c>
      <c r="I4" s="1" t="str">
        <f ca="1">IFERROR(__xludf.DUMMYFUNCTION("""COMPUTED_VALUE"""),"แจ้งเจ้าหน้านำจ่ายตรวจสอบให้แล้ว")</f>
        <v>แจ้งเจ้าหน้านำจ่ายตรวจสอบให้แล้ว</v>
      </c>
      <c r="J4" s="1" t="str">
        <f ca="1">IFERROR(__xludf.DUMMYFUNCTION("""COMPUTED_VALUE"""),"DB1")</f>
        <v>DB1</v>
      </c>
      <c r="K4" s="1" t="str">
        <f ca="1">IFERROR(__xludf.DUMMYFUNCTION("""COMPUTED_VALUE"""),"EMS10260EVD1033")</f>
        <v>EMS10260EVD1033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5.75" customHeight="1" x14ac:dyDescent="0.2">
      <c r="A5" s="7">
        <f ca="1">IFERROR(__xludf.DUMMYFUNCTION("""COMPUTED_VALUE"""),45241.6094536458)</f>
        <v>45241.609453645797</v>
      </c>
      <c r="B5" s="1" t="str">
        <f ca="1">IFERROR(__xludf.DUMMYFUNCTION("""COMPUTED_VALUE"""),"CEC")</f>
        <v>CEC</v>
      </c>
      <c r="C5" s="1" t="str">
        <f ca="1">IFERROR(__xludf.DUMMYFUNCTION("""COMPUTED_VALUE"""),"ri896903576th")</f>
        <v>ri896903576th</v>
      </c>
      <c r="D5" s="1" t="str">
        <f ca="1">IFERROR(__xludf.DUMMYFUNCTION("""COMPUTED_VALUE"""),"มัลลิกา")</f>
        <v>มัลลิกา</v>
      </c>
      <c r="E5" s="1" t="str">
        <f ca="1">IFERROR(__xludf.DUMMYFUNCTION("""COMPUTED_VALUE"""),"0837075172")</f>
        <v>0837075172</v>
      </c>
      <c r="F5" s="1" t="str">
        <f ca="1">IFERROR(__xludf.DUMMYFUNCTION("""COMPUTED_VALUE"""),"12 ลาซาล 33")</f>
        <v>12 ลาซาล 33</v>
      </c>
      <c r="G5" s="1" t="str">
        <f ca="1">IFERROR(__xludf.DUMMYFUNCTION("""COMPUTED_VALUE"""),"นำจ่ายใหม่")</f>
        <v>นำจ่ายใหม่</v>
      </c>
      <c r="H5" s="1" t="str">
        <f ca="1">IFERROR(__xludf.DUMMYFUNCTION("""COMPUTED_VALUE"""),"ออกใบแจ้งเมื่อ 10/11/66")</f>
        <v>ออกใบแจ้งเมื่อ 10/11/66</v>
      </c>
      <c r="I5" s="1" t="str">
        <f ca="1">IFERROR(__xludf.DUMMYFUNCTION("""COMPUTED_VALUE"""),"แจ้งเจ้าหน้าที่นำจ่าย(ซนจ)  แล้ว")</f>
        <v>แจ้งเจ้าหน้าที่นำจ่าย(ซนจ)  แล้ว</v>
      </c>
      <c r="J5" s="1" t="str">
        <f ca="1">IFERROR(__xludf.DUMMYFUNCTION("""COMPUTED_VALUE"""),"DB1")</f>
        <v>DB1</v>
      </c>
      <c r="K5" s="1" t="str">
        <f ca="1">IFERROR(__xludf.DUMMYFUNCTION("""COMPUTED_VALUE"""),"EMS10260EVD1022")</f>
        <v>EMS10260EVD1022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5.75" customHeight="1" x14ac:dyDescent="0.2">
      <c r="A6" s="7">
        <f ca="1">IFERROR(__xludf.DUMMYFUNCTION("""COMPUTED_VALUE"""),45241.6111921412)</f>
        <v>45241.611192141201</v>
      </c>
      <c r="B6" s="1" t="str">
        <f ca="1">IFERROR(__xludf.DUMMYFUNCTION("""COMPUTED_VALUE"""),"CEC")</f>
        <v>CEC</v>
      </c>
      <c r="C6" s="1" t="str">
        <f ca="1">IFERROR(__xludf.DUMMYFUNCTION("""COMPUTED_VALUE"""),"ed800653401th")</f>
        <v>ed800653401th</v>
      </c>
      <c r="D6" s="1" t="str">
        <f ca="1">IFERROR(__xludf.DUMMYFUNCTION("""COMPUTED_VALUE"""),"ขวัญหทัย")</f>
        <v>ขวัญหทัย</v>
      </c>
      <c r="E6" s="1" t="str">
        <f ca="1">IFERROR(__xludf.DUMMYFUNCTION("""COMPUTED_VALUE"""),"0821422065")</f>
        <v>0821422065</v>
      </c>
      <c r="F6" s="1" t="str">
        <f ca="1">IFERROR(__xludf.DUMMYFUNCTION("""COMPUTED_VALUE"""),"9/42  ไอดิโอมิกข์  ซ103")</f>
        <v>9/42  ไอดิโอมิกข์  ซ103</v>
      </c>
      <c r="G6" s="1" t="str">
        <f ca="1">IFERROR(__xludf.DUMMYFUNCTION("""COMPUTED_VALUE"""),"นำจ่ายใหม่")</f>
        <v>นำจ่ายใหม่</v>
      </c>
      <c r="H6" s="1" t="str">
        <f ca="1">IFERROR(__xludf.DUMMYFUNCTION("""COMPUTED_VALUE"""),"ออกใบแจ้ง 10/11/66")</f>
        <v>ออกใบแจ้ง 10/11/66</v>
      </c>
      <c r="I6" s="1" t="str">
        <f ca="1">IFERROR(__xludf.DUMMYFUNCTION("""COMPUTED_VALUE"""),"แจ้ง  ซนจ /เจ้าหน้าที่นำจ่ายแล้ว")</f>
        <v>แจ้ง  ซนจ /เจ้าหน้าที่นำจ่ายแล้ว</v>
      </c>
      <c r="J6" s="1" t="str">
        <f ca="1">IFERROR(__xludf.DUMMYFUNCTION("""COMPUTED_VALUE"""),"DB2")</f>
        <v>DB2</v>
      </c>
      <c r="K6" s="1" t="str">
        <f ca="1">IFERROR(__xludf.DUMMYFUNCTION("""COMPUTED_VALUE"""),"EMS10260EVD2020")</f>
        <v>EMS10260EVD2020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5.75" customHeight="1" x14ac:dyDescent="0.2">
      <c r="A7" s="7">
        <f ca="1">IFERROR(__xludf.DUMMYFUNCTION("""COMPUTED_VALUE"""),45241.7402921527)</f>
        <v>45241.740292152703</v>
      </c>
      <c r="B7" s="1" t="str">
        <f ca="1">IFERROR(__xludf.DUMMYFUNCTION("""COMPUTED_VALUE"""),"On Queue")</f>
        <v>On Queue</v>
      </c>
      <c r="C7" s="1" t="str">
        <f ca="1">IFERROR(__xludf.DUMMYFUNCTION("""COMPUTED_VALUE"""),"LV003208662SG")</f>
        <v>LV003208662SG</v>
      </c>
      <c r="D7" s="1" t="str">
        <f ca="1">IFERROR(__xludf.DUMMYFUNCTION("""COMPUTED_VALUE"""),"ฤทัยรัตน์")</f>
        <v>ฤทัยรัตน์</v>
      </c>
      <c r="E7" s="1" t="str">
        <f ca="1">IFERROR(__xludf.DUMMYFUNCTION("""COMPUTED_VALUE"""),"061-9262263")</f>
        <v>061-9262263</v>
      </c>
      <c r="F7" s="1" t="str">
        <f ca="1">IFERROR(__xludf.DUMMYFUNCTION("""COMPUTED_VALUE"""),"6 ปุณณวิถี 11")</f>
        <v>6 ปุณณวิถี 11</v>
      </c>
      <c r="G7" s="1" t="str">
        <f ca="1">IFERROR(__xludf.DUMMYFUNCTION("""COMPUTED_VALUE"""),"นำจ่ายใหม่")</f>
        <v>นำจ่ายใหม่</v>
      </c>
      <c r="H7" s="1" t="str">
        <f ca="1">IFERROR(__xludf.DUMMYFUNCTION("""COMPUTED_VALUE"""),"ติดต่อผู้รับไม่ได้3/11/66")</f>
        <v>ติดต่อผู้รับไม่ได้3/11/66</v>
      </c>
      <c r="I7" s="1" t="str">
        <f ca="1">IFERROR(__xludf.DUMMYFUNCTION("""COMPUTED_VALUE"""),"แจ้งติดต่อนำจ่ายใหม่ 12/11/66แล้ว")</f>
        <v>แจ้งติดต่อนำจ่ายใหม่ 12/11/66แล้ว</v>
      </c>
      <c r="J7" s="1" t="str">
        <f ca="1">IFERROR(__xludf.DUMMYFUNCTION("""COMPUTED_VALUE"""),"DB3")</f>
        <v>DB3</v>
      </c>
      <c r="K7" s="1" t="str">
        <f ca="1">IFERROR(__xludf.DUMMYFUNCTION("""COMPUTED_VALUE"""),"EMS10260EVD3014")</f>
        <v>EMS10260EVD3014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5.75" customHeight="1" x14ac:dyDescent="0.2">
      <c r="A8" s="7">
        <f ca="1">IFERROR(__xludf.DUMMYFUNCTION("""COMPUTED_VALUE"""),45241.7426523148)</f>
        <v>45241.742652314802</v>
      </c>
      <c r="B8" s="1" t="str">
        <f ca="1">IFERROR(__xludf.DUMMYFUNCTION("""COMPUTED_VALUE"""),"CEC")</f>
        <v>CEC</v>
      </c>
      <c r="C8" s="1" t="str">
        <f ca="1">IFERROR(__xludf.DUMMYFUNCTION("""COMPUTED_VALUE"""),"EY950456353TH")</f>
        <v>EY950456353TH</v>
      </c>
      <c r="D8" s="1" t="str">
        <f ca="1">IFERROR(__xludf.DUMMYFUNCTION("""COMPUTED_VALUE"""),"พัชระ")</f>
        <v>พัชระ</v>
      </c>
      <c r="E8" s="1" t="str">
        <f ca="1">IFERROR(__xludf.DUMMYFUNCTION("""COMPUTED_VALUE"""),"065-6126991")</f>
        <v>065-6126991</v>
      </c>
      <c r="F8" s="1" t="str">
        <f ca="1">IFERROR(__xludf.DUMMYFUNCTION("""COMPUTED_VALUE"""),"602 ร้านกิจเจริญ สุขุมวิท 93")</f>
        <v>602 ร้านกิจเจริญ สุขุมวิท 93</v>
      </c>
      <c r="G8" s="1" t="str">
        <f ca="1">IFERROR(__xludf.DUMMYFUNCTION("""COMPUTED_VALUE"""),"ตรวจสอบการนำจ่าย")</f>
        <v>ตรวจสอบการนำจ่าย</v>
      </c>
      <c r="H8" s="1" t="str">
        <f ca="1">IFERROR(__xludf.DUMMYFUNCTION("""COMPUTED_VALUE"""),"นำจ่าย 11/11/66 ยังไม่ได้รับ")</f>
        <v>นำจ่าย 11/11/66 ยังไม่ได้รับ</v>
      </c>
      <c r="I8" s="1" t="str">
        <f ca="1">IFERROR(__xludf.DUMMYFUNCTION("""COMPUTED_VALUE"""),"แจ้งแผนกที่เกี่ยวข้องแล้ว")</f>
        <v>แจ้งแผนกที่เกี่ยวข้องแล้ว</v>
      </c>
      <c r="J8" s="1" t="str">
        <f ca="1">IFERROR(__xludf.DUMMYFUNCTION("""COMPUTED_VALUE"""),"DB3")</f>
        <v>DB3</v>
      </c>
      <c r="K8" s="1" t="str">
        <f ca="1">IFERROR(__xludf.DUMMYFUNCTION("""COMPUTED_VALUE"""),"EMS10260EVD3009")</f>
        <v>EMS10260EVD3009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5.75" customHeight="1" x14ac:dyDescent="0.2">
      <c r="A9" s="7">
        <f ca="1">IFERROR(__xludf.DUMMYFUNCTION("""COMPUTED_VALUE"""),45242.3878406365)</f>
        <v>45242.387840636497</v>
      </c>
      <c r="B9" s="1" t="str">
        <f ca="1">IFERROR(__xludf.DUMMYFUNCTION("""COMPUTED_VALUE"""),"CEC")</f>
        <v>CEC</v>
      </c>
      <c r="C9" s="1" t="str">
        <f ca="1">IFERROR(__xludf.DUMMYFUNCTION("""COMPUTED_VALUE"""),"RY710333435TH")</f>
        <v>RY710333435TH</v>
      </c>
      <c r="D9" s="1" t="str">
        <f ca="1">IFERROR(__xludf.DUMMYFUNCTION("""COMPUTED_VALUE"""),"สุธาริณี")</f>
        <v>สุธาริณี</v>
      </c>
      <c r="E9" s="1" t="str">
        <f ca="1">IFERROR(__xludf.DUMMYFUNCTION("""COMPUTED_VALUE"""),"094-2864999")</f>
        <v>094-2864999</v>
      </c>
      <c r="F9" s="1" t="str">
        <f ca="1">IFERROR(__xludf.DUMMYFUNCTION("""COMPUTED_VALUE"""),"77 ซีริโอ พาร์ค ลาซาล 7")</f>
        <v>77 ซีริโอ พาร์ค ลาซาล 7</v>
      </c>
      <c r="G9" s="1" t="str">
        <f ca="1">IFERROR(__xludf.DUMMYFUNCTION("""COMPUTED_VALUE"""),"ตรวจสอบการนำจ่าย")</f>
        <v>ตรวจสอบการนำจ่าย</v>
      </c>
      <c r="H9" s="1" t="str">
        <f ca="1">IFERROR(__xludf.DUMMYFUNCTION("""COMPUTED_VALUE"""),"นำจ่าย 11/11/66 ยังไม่ได้รับ")</f>
        <v>นำจ่าย 11/11/66 ยังไม่ได้รับ</v>
      </c>
      <c r="I9" s="1" t="str">
        <f ca="1">IFERROR(__xludf.DUMMYFUNCTION("""COMPUTED_VALUE"""),"จ่าหน้าที่อยู่เก่า นำจ่ายถูกต้อง")</f>
        <v>จ่าหน้าที่อยู่เก่า นำจ่ายถูกต้อง</v>
      </c>
      <c r="J9" s="1" t="str">
        <f ca="1">IFERROR(__xludf.DUMMYFUNCTION("""COMPUTED_VALUE"""),"DB1")</f>
        <v>DB1</v>
      </c>
      <c r="K9" s="1" t="str">
        <f ca="1">IFERROR(__xludf.DUMMYFUNCTION("""COMPUTED_VALUE"""),"EMS10260EVD1008")</f>
        <v>EMS10260EVD1008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15.75" customHeight="1" x14ac:dyDescent="0.2">
      <c r="A10" s="7">
        <f ca="1">IFERROR(__xludf.DUMMYFUNCTION("""COMPUTED_VALUE"""),45242.3955563194)</f>
        <v>45242.395556319403</v>
      </c>
      <c r="B10" s="1" t="str">
        <f ca="1">IFERROR(__xludf.DUMMYFUNCTION("""COMPUTED_VALUE"""),"On Queue")</f>
        <v>On Queue</v>
      </c>
      <c r="C10" s="1" t="str">
        <f ca="1">IFERROR(__xludf.DUMMYFUNCTION("""COMPUTED_VALUE"""),"ED954067362TH")</f>
        <v>ED954067362TH</v>
      </c>
      <c r="D10" s="1" t="str">
        <f ca="1">IFERROR(__xludf.DUMMYFUNCTION("""COMPUTED_VALUE"""),"ณัฐวุฒิ")</f>
        <v>ณัฐวุฒิ</v>
      </c>
      <c r="E10" s="1" t="str">
        <f ca="1">IFERROR(__xludf.DUMMYFUNCTION("""COMPUTED_VALUE"""),"082-5980767")</f>
        <v>082-5980767</v>
      </c>
      <c r="F10" s="1" t="str">
        <f ca="1">IFERROR(__xludf.DUMMYFUNCTION("""COMPUTED_VALUE"""),"76 ลาซาล19")</f>
        <v>76 ลาซาล19</v>
      </c>
      <c r="G10" s="1" t="str">
        <f ca="1">IFERROR(__xludf.DUMMYFUNCTION("""COMPUTED_VALUE"""),"ตรวจสอบการนำจ่าย")</f>
        <v>ตรวจสอบการนำจ่าย</v>
      </c>
      <c r="H10" s="1" t="str">
        <f ca="1">IFERROR(__xludf.DUMMYFUNCTION("""COMPUTED_VALUE"""),"ยังไม่มีการเตรียมการนำจ่าย")</f>
        <v>ยังไม่มีการเตรียมการนำจ่าย</v>
      </c>
      <c r="I10" s="1" t="str">
        <f ca="1">IFERROR(__xludf.DUMMYFUNCTION("""COMPUTED_VALUE"""),"แจ้งแผนกที่เกี่ยวข้องแล้ว")</f>
        <v>แจ้งแผนกที่เกี่ยวข้องแล้ว</v>
      </c>
      <c r="J10" s="1" t="str">
        <f ca="1">IFERROR(__xludf.DUMMYFUNCTION("""COMPUTED_VALUE"""),"DB1")</f>
        <v>DB1</v>
      </c>
      <c r="K10" s="1" t="str">
        <f ca="1">IFERROR(__xludf.DUMMYFUNCTION("""COMPUTED_VALUE"""),"EMS10260EVD1022")</f>
        <v>EMS10260EVD1022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15.75" customHeight="1" x14ac:dyDescent="0.2">
      <c r="A11" s="7">
        <f ca="1">IFERROR(__xludf.DUMMYFUNCTION("""COMPUTED_VALUE"""),45242.39735478)</f>
        <v>45242.397354779998</v>
      </c>
      <c r="B11" s="1" t="str">
        <f ca="1">IFERROR(__xludf.DUMMYFUNCTION("""COMPUTED_VALUE"""),"On Queue")</f>
        <v>On Queue</v>
      </c>
      <c r="C11" s="1" t="str">
        <f ca="1">IFERROR(__xludf.DUMMYFUNCTION("""COMPUTED_VALUE"""),"ED832652420TH")</f>
        <v>ED832652420TH</v>
      </c>
      <c r="D11" s="1" t="str">
        <f ca="1">IFERROR(__xludf.DUMMYFUNCTION("""COMPUTED_VALUE"""),"อุษณีย์")</f>
        <v>อุษณีย์</v>
      </c>
      <c r="E11" s="1" t="str">
        <f ca="1">IFERROR(__xludf.DUMMYFUNCTION("""COMPUTED_VALUE"""),"081-8204490")</f>
        <v>081-8204490</v>
      </c>
      <c r="F11" s="1" t="str">
        <f ca="1">IFERROR(__xludf.DUMMYFUNCTION("""COMPUTED_VALUE"""),"155 ลาซาล 87")</f>
        <v>155 ลาซาล 87</v>
      </c>
      <c r="G11" s="1" t="str">
        <f ca="1">IFERROR(__xludf.DUMMYFUNCTION("""COMPUTED_VALUE"""),"ตรวจสอบการนำจ่าย")</f>
        <v>ตรวจสอบการนำจ่าย</v>
      </c>
      <c r="H11" s="1" t="str">
        <f ca="1">IFERROR(__xludf.DUMMYFUNCTION("""COMPUTED_VALUE"""),"นำจ่าย 11/11/66 ยังไม่ได้รับ")</f>
        <v>นำจ่าย 11/11/66 ยังไม่ได้รับ</v>
      </c>
      <c r="I11" s="1" t="str">
        <f ca="1">IFERROR(__xludf.DUMMYFUNCTION("""COMPUTED_VALUE"""),"แจ้งแผนกที่เกี่ยวข้องแล้ว")</f>
        <v>แจ้งแผนกที่เกี่ยวข้องแล้ว</v>
      </c>
      <c r="J11" s="1" t="str">
        <f ca="1">IFERROR(__xludf.DUMMYFUNCTION("""COMPUTED_VALUE"""),"DB1")</f>
        <v>DB1</v>
      </c>
      <c r="K11" s="1" t="str">
        <f ca="1">IFERROR(__xludf.DUMMYFUNCTION("""COMPUTED_VALUE"""),"EMS10260EVD1026")</f>
        <v>EMS10260EVD1026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15.75" customHeight="1" x14ac:dyDescent="0.2">
      <c r="A12" s="7">
        <f ca="1">IFERROR(__xludf.DUMMYFUNCTION("""COMPUTED_VALUE"""),45242.4278459953)</f>
        <v>45242.427845995298</v>
      </c>
      <c r="B12" s="1" t="str">
        <f ca="1">IFERROR(__xludf.DUMMYFUNCTION("""COMPUTED_VALUE"""),"CEC")</f>
        <v>CEC</v>
      </c>
      <c r="C12" s="1" t="str">
        <f ca="1">IFERROR(__xludf.DUMMYFUNCTION("""COMPUTED_VALUE"""),"EY950876735TH")</f>
        <v>EY950876735TH</v>
      </c>
      <c r="D12" s="1" t="str">
        <f ca="1">IFERROR(__xludf.DUMMYFUNCTION("""COMPUTED_VALUE"""),"นัชนิชา")</f>
        <v>นัชนิชา</v>
      </c>
      <c r="E12" s="1" t="str">
        <f ca="1">IFERROR(__xludf.DUMMYFUNCTION("""COMPUTED_VALUE"""),"098-3575431")</f>
        <v>098-3575431</v>
      </c>
      <c r="F12" s="1" t="str">
        <f ca="1">IFERROR(__xludf.DUMMYFUNCTION("""COMPUTED_VALUE"""),"266 ซ.กุศลศิลป์")</f>
        <v>266 ซ.กุศลศิลป์</v>
      </c>
      <c r="G12" s="1" t="str">
        <f ca="1">IFERROR(__xludf.DUMMYFUNCTION("""COMPUTED_VALUE"""),"นำจ่ายใหม่")</f>
        <v>นำจ่ายใหม่</v>
      </c>
      <c r="H12" s="1" t="str">
        <f ca="1">IFERROR(__xludf.DUMMYFUNCTION("""COMPUTED_VALUE"""),"COD 229 บ.")</f>
        <v>COD 229 บ.</v>
      </c>
      <c r="I12" s="1" t="str">
        <f ca="1">IFERROR(__xludf.DUMMYFUNCTION("""COMPUTED_VALUE"""),"แจ้งนำจ่ายใหม่วันนี้แล้ว")</f>
        <v>แจ้งนำจ่ายใหม่วันนี้แล้ว</v>
      </c>
      <c r="J12" s="1" t="str">
        <f ca="1">IFERROR(__xludf.DUMMYFUNCTION("""COMPUTED_VALUE"""),"DB2")</f>
        <v>DB2</v>
      </c>
      <c r="K12" s="1" t="str">
        <f ca="1">IFERROR(__xludf.DUMMYFUNCTION("""COMPUTED_VALUE"""),"EMS10260EVD2002")</f>
        <v>EMS10260EVD2002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15.75" customHeight="1" x14ac:dyDescent="0.2">
      <c r="A13" s="7">
        <f ca="1">IFERROR(__xludf.DUMMYFUNCTION("""COMPUTED_VALUE"""),45242.4296314236)</f>
        <v>45242.429631423598</v>
      </c>
      <c r="B13" s="1" t="str">
        <f ca="1">IFERROR(__xludf.DUMMYFUNCTION("""COMPUTED_VALUE"""),"CEC")</f>
        <v>CEC</v>
      </c>
      <c r="C13" s="1" t="str">
        <f ca="1">IFERROR(__xludf.DUMMYFUNCTION("""COMPUTED_VALUE"""),"ED959124906TH")</f>
        <v>ED959124906TH</v>
      </c>
      <c r="D13" s="1" t="str">
        <f ca="1">IFERROR(__xludf.DUMMYFUNCTION("""COMPUTED_VALUE"""),"ธัญธรณ์")</f>
        <v>ธัญธรณ์</v>
      </c>
      <c r="E13" s="1" t="str">
        <f ca="1">IFERROR(__xludf.DUMMYFUNCTION("""COMPUTED_VALUE"""),"080-5959255")</f>
        <v>080-5959255</v>
      </c>
      <c r="F13" s="1" t="str">
        <f ca="1">IFERROR(__xludf.DUMMYFUNCTION("""COMPUTED_VALUE"""),"2024/33-34 ร้าน SFX ซาวด์ สุขุมวิท 50")</f>
        <v>2024/33-34 ร้าน SFX ซาวด์ สุขุมวิท 50</v>
      </c>
      <c r="G13" s="1" t="str">
        <f ca="1">IFERROR(__xludf.DUMMYFUNCTION("""COMPUTED_VALUE"""),"นำจ่ายใหม่")</f>
        <v>นำจ่ายใหม่</v>
      </c>
      <c r="H13" s="1" t="str">
        <f ca="1">IFERROR(__xludf.DUMMYFUNCTION("""COMPUTED_VALUE"""),"ส่วนราชการ/บริษัทหยุด 11/11/66")</f>
        <v>ส่วนราชการ/บริษัทหยุด 11/11/66</v>
      </c>
      <c r="I13" s="1" t="str">
        <f ca="1">IFERROR(__xludf.DUMMYFUNCTION("""COMPUTED_VALUE"""),"นำจ่ายใหม่วันนี้")</f>
        <v>นำจ่ายใหม่วันนี้</v>
      </c>
      <c r="J13" s="1" t="str">
        <f ca="1">IFERROR(__xludf.DUMMYFUNCTION("""COMPUTED_VALUE"""),"นำจ่ายรถยนต์")</f>
        <v>นำจ่ายรถยนต์</v>
      </c>
      <c r="K13" s="1" t="str">
        <f ca="1">IFERROR(__xludf.DUMMYFUNCTION("""COMPUTED_VALUE"""),"CAR10260EVD5002")</f>
        <v>CAR10260EVD5002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15.75" customHeight="1" x14ac:dyDescent="0.2">
      <c r="A14" s="7">
        <f ca="1">IFERROR(__xludf.DUMMYFUNCTION("""COMPUTED_VALUE"""),45242.4752034953)</f>
        <v>45242.475203495298</v>
      </c>
      <c r="B14" s="1" t="str">
        <f ca="1">IFERROR(__xludf.DUMMYFUNCTION("""COMPUTED_VALUE"""),"CEC")</f>
        <v>CEC</v>
      </c>
      <c r="C14" s="1" t="str">
        <f ca="1">IFERROR(__xludf.DUMMYFUNCTION("""COMPUTED_VALUE"""),"EA864326863TH")</f>
        <v>EA864326863TH</v>
      </c>
      <c r="D14" s="1" t="str">
        <f ca="1">IFERROR(__xludf.DUMMYFUNCTION("""COMPUTED_VALUE"""),"นวลคำ")</f>
        <v>นวลคำ</v>
      </c>
      <c r="E14" s="1" t="str">
        <f ca="1">IFERROR(__xludf.DUMMYFUNCTION("""COMPUTED_VALUE"""),"088-3687348")</f>
        <v>088-3687348</v>
      </c>
      <c r="F14" s="1" t="str">
        <f ca="1">IFERROR(__xludf.DUMMYFUNCTION("""COMPUTED_VALUE"""),"585 อ.เซ็นทรัลบางนา ซุปเปอร์สปอร์ต")</f>
        <v>585 อ.เซ็นทรัลบางนา ซุปเปอร์สปอร์ต</v>
      </c>
      <c r="G14" s="1" t="str">
        <f ca="1">IFERROR(__xludf.DUMMYFUNCTION("""COMPUTED_VALUE"""),"นำจ่ายใหม่")</f>
        <v>นำจ่ายใหม่</v>
      </c>
      <c r="H14" s="1" t="str">
        <f ca="1">IFERROR(__xludf.DUMMYFUNCTION("""COMPUTED_VALUE"""),"COD 169 บ")</f>
        <v>COD 169 บ</v>
      </c>
      <c r="I14" s="1"/>
      <c r="J14" s="1" t="str">
        <f ca="1">IFERROR(__xludf.DUMMYFUNCTION("""COMPUTED_VALUE"""),"DB2")</f>
        <v>DB2</v>
      </c>
      <c r="K14" s="1" t="str">
        <f ca="1">IFERROR(__xludf.DUMMYFUNCTION("""COMPUTED_VALUE"""),"EMS10260EVD2009")</f>
        <v>EMS10260EVD2009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15.75" customHeight="1" x14ac:dyDescent="0.2">
      <c r="A15" s="7">
        <f ca="1">IFERROR(__xludf.DUMMYFUNCTION("""COMPUTED_VALUE"""),45242.479549375)</f>
        <v>45242.479549374999</v>
      </c>
      <c r="B15" s="1" t="str">
        <f ca="1">IFERROR(__xludf.DUMMYFUNCTION("""COMPUTED_VALUE"""),"CEC")</f>
        <v>CEC</v>
      </c>
      <c r="C15" s="1" t="str">
        <f ca="1">IFERROR(__xludf.DUMMYFUNCTION("""COMPUTED_VALUE"""),"EJ976829579TH")</f>
        <v>EJ976829579TH</v>
      </c>
      <c r="D15" s="1" t="str">
        <f ca="1">IFERROR(__xludf.DUMMYFUNCTION("""COMPUTED_VALUE"""),"พงษ์พันธ์")</f>
        <v>พงษ์พันธ์</v>
      </c>
      <c r="E15" s="1" t="str">
        <f ca="1">IFERROR(__xludf.DUMMYFUNCTION("""COMPUTED_VALUE"""),"098-9414961")</f>
        <v>098-9414961</v>
      </c>
      <c r="F15" s="1" t="str">
        <f ca="1">IFERROR(__xludf.DUMMYFUNCTION("""COMPUTED_VALUE"""),"1460/23 เดอะนิชโมโน บางนาตราด")</f>
        <v>1460/23 เดอะนิชโมโน บางนาตราด</v>
      </c>
      <c r="G15" s="1" t="str">
        <f ca="1">IFERROR(__xludf.DUMMYFUNCTION("""COMPUTED_VALUE"""),"ตรวจสอบการนำจ่าย")</f>
        <v>ตรวจสอบการนำจ่าย</v>
      </c>
      <c r="H15" s="1" t="str">
        <f ca="1">IFERROR(__xludf.DUMMYFUNCTION("""COMPUTED_VALUE"""),"นำจ่าย 10/11/66 ยังไม่ได้รับ")</f>
        <v>นำจ่าย 10/11/66 ยังไม่ได้รับ</v>
      </c>
      <c r="I15" s="1" t="str">
        <f ca="1">IFERROR(__xludf.DUMMYFUNCTION("""COMPUTED_VALUE"""),"นำจ่ายผิดแจ้งติดตามแล้ว")</f>
        <v>นำจ่ายผิดแจ้งติดตามแล้ว</v>
      </c>
      <c r="J15" s="1" t="str">
        <f ca="1">IFERROR(__xludf.DUMMYFUNCTION("""COMPUTED_VALUE"""),"นำจ่ายรถยนต์")</f>
        <v>นำจ่ายรถยนต์</v>
      </c>
      <c r="K15" s="1" t="str">
        <f ca="1">IFERROR(__xludf.DUMMYFUNCTION("""COMPUTED_VALUE"""),"CAR10260EVD5008")</f>
        <v>CAR10260EVD5008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15.75" customHeight="1" x14ac:dyDescent="0.2">
      <c r="A16" s="7">
        <f ca="1">IFERROR(__xludf.DUMMYFUNCTION("""COMPUTED_VALUE"""),45242.4883906134)</f>
        <v>45242.488390613398</v>
      </c>
      <c r="B16" s="1" t="str">
        <f ca="1">IFERROR(__xludf.DUMMYFUNCTION("""COMPUTED_VALUE"""),"CEC")</f>
        <v>CEC</v>
      </c>
      <c r="C16" s="1" t="str">
        <f ca="1">IFERROR(__xludf.DUMMYFUNCTION("""COMPUTED_VALUE"""),"EB996851488TH")</f>
        <v>EB996851488TH</v>
      </c>
      <c r="D16" s="1" t="str">
        <f ca="1">IFERROR(__xludf.DUMMYFUNCTION("""COMPUTED_VALUE"""),"ธัญรัตน์")</f>
        <v>ธัญรัตน์</v>
      </c>
      <c r="E16" s="1" t="str">
        <f ca="1">IFERROR(__xludf.DUMMYFUNCTION("""COMPUTED_VALUE"""),"092-2701398")</f>
        <v>092-2701398</v>
      </c>
      <c r="F16" s="1" t="str">
        <f ca="1">IFERROR(__xludf.DUMMYFUNCTION("""COMPUTED_VALUE"""),"162/12 แฟลตทหารเรือ")</f>
        <v>162/12 แฟลตทหารเรือ</v>
      </c>
      <c r="G16" s="1" t="str">
        <f ca="1">IFERROR(__xludf.DUMMYFUNCTION("""COMPUTED_VALUE"""),"ตรวจสอบการนำจ่าย")</f>
        <v>ตรวจสอบการนำจ่าย</v>
      </c>
      <c r="H16" s="1" t="str">
        <f ca="1">IFERROR(__xludf.DUMMYFUNCTION("""COMPUTED_VALUE"""),"ลูกค้าต้องการให้ส่งคืน (ส่งของผิด)")</f>
        <v>ลูกค้าต้องการให้ส่งคืน (ส่งของผิด)</v>
      </c>
      <c r="I16" s="1" t="str">
        <f ca="1">IFERROR(__xludf.DUMMYFUNCTION("""COMPUTED_VALUE"""),"แจ้งส่วนรับผิดชอบแล้ว")</f>
        <v>แจ้งส่วนรับผิดชอบแล้ว</v>
      </c>
      <c r="J16" s="1" t="str">
        <f ca="1">IFERROR(__xludf.DUMMYFUNCTION("""COMPUTED_VALUE"""),"นำจ่ายรถยนต์")</f>
        <v>นำจ่ายรถยนต์</v>
      </c>
      <c r="K16" s="1" t="str">
        <f ca="1">IFERROR(__xludf.DUMMYFUNCTION("""COMPUTED_VALUE"""),"CAR10260EVD5003")</f>
        <v>CAR10260EVD5003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15.75" customHeight="1" x14ac:dyDescent="0.2">
      <c r="A17" s="7">
        <f ca="1">IFERROR(__xludf.DUMMYFUNCTION("""COMPUTED_VALUE"""),45242.4980812963)</f>
        <v>45242.498081296297</v>
      </c>
      <c r="B17" s="1" t="str">
        <f ca="1">IFERROR(__xludf.DUMMYFUNCTION("""COMPUTED_VALUE"""),"CEC")</f>
        <v>CEC</v>
      </c>
      <c r="C17" s="1" t="str">
        <f ca="1">IFERROR(__xludf.DUMMYFUNCTION("""COMPUTED_VALUE"""),"EY934241084TH")</f>
        <v>EY934241084TH</v>
      </c>
      <c r="D17" s="1" t="str">
        <f ca="1">IFERROR(__xludf.DUMMYFUNCTION("""COMPUTED_VALUE"""),"ศิริลักษ์")</f>
        <v>ศิริลักษ์</v>
      </c>
      <c r="E17" s="1" t="str">
        <f ca="1">IFERROR(__xludf.DUMMYFUNCTION("""COMPUTED_VALUE"""),"080-3161012")</f>
        <v>080-3161012</v>
      </c>
      <c r="F17" s="1" t="str">
        <f ca="1">IFERROR(__xludf.DUMMYFUNCTION("""COMPUTED_VALUE"""),"อ.เซ็นทรัล ห้อง 306/1 คลินิกผิวดี")</f>
        <v>อ.เซ็นทรัล ห้อง 306/1 คลินิกผิวดี</v>
      </c>
      <c r="G17" s="1" t="str">
        <f ca="1">IFERROR(__xludf.DUMMYFUNCTION("""COMPUTED_VALUE"""),"นำจ่ายใหม่")</f>
        <v>นำจ่ายใหม่</v>
      </c>
      <c r="H17" s="1" t="str">
        <f ca="1">IFERROR(__xludf.DUMMYFUNCTION("""COMPUTED_VALUE"""),"COD 270 บ")</f>
        <v>COD 270 บ</v>
      </c>
      <c r="I17" s="1"/>
      <c r="J17" s="1" t="str">
        <f ca="1">IFERROR(__xludf.DUMMYFUNCTION("""COMPUTED_VALUE"""),"DB2")</f>
        <v>DB2</v>
      </c>
      <c r="K17" s="1" t="str">
        <f ca="1">IFERROR(__xludf.DUMMYFUNCTION("""COMPUTED_VALUE"""),"EMS10260EVD2009")</f>
        <v>EMS10260EVD2009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15.75" customHeight="1" x14ac:dyDescent="0.2">
      <c r="A18" s="7">
        <f ca="1">IFERROR(__xludf.DUMMYFUNCTION("""COMPUTED_VALUE"""),45242.4988781134)</f>
        <v>45242.498878113402</v>
      </c>
      <c r="B18" s="1" t="str">
        <f ca="1">IFERROR(__xludf.DUMMYFUNCTION("""COMPUTED_VALUE"""),"CEC")</f>
        <v>CEC</v>
      </c>
      <c r="C18" s="1" t="str">
        <f ca="1">IFERROR(__xludf.DUMMYFUNCTION("""COMPUTED_VALUE"""),"EM361964806TH")</f>
        <v>EM361964806TH</v>
      </c>
      <c r="D18" s="1" t="str">
        <f ca="1">IFERROR(__xludf.DUMMYFUNCTION("""COMPUTED_VALUE"""),"ภัทราพร")</f>
        <v>ภัทราพร</v>
      </c>
      <c r="E18" s="1" t="str">
        <f ca="1">IFERROR(__xludf.DUMMYFUNCTION("""COMPUTED_VALUE"""),"094-2341858")</f>
        <v>094-2341858</v>
      </c>
      <c r="F18" s="1" t="str">
        <f ca="1">IFERROR(__xludf.DUMMYFUNCTION("""COMPUTED_VALUE"""),"222 บ้าน ณ อุดมสุข")</f>
        <v>222 บ้าน ณ อุดมสุข</v>
      </c>
      <c r="G18" s="1" t="str">
        <f ca="1">IFERROR(__xludf.DUMMYFUNCTION("""COMPUTED_VALUE"""),"ตรวจสอบการนำจ่าย")</f>
        <v>ตรวจสอบการนำจ่าย</v>
      </c>
      <c r="H18" s="1" t="str">
        <f ca="1">IFERROR(__xludf.DUMMYFUNCTION("""COMPUTED_VALUE"""),"ผู้รับแจ้งจะเข้าไปรับเอง")</f>
        <v>ผู้รับแจ้งจะเข้าไปรับเอง</v>
      </c>
      <c r="I18" s="1"/>
      <c r="J18" s="1" t="str">
        <f ca="1">IFERROR(__xludf.DUMMYFUNCTION("""COMPUTED_VALUE"""),"นำจ่ายรถยนต์")</f>
        <v>นำจ่ายรถยนต์</v>
      </c>
      <c r="K18" s="1" t="str">
        <f ca="1">IFERROR(__xludf.DUMMYFUNCTION("""COMPUTED_VALUE"""),"CAR10260EVD5010")</f>
        <v>CAR10260EVD5010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15.75" customHeight="1" x14ac:dyDescent="0.2">
      <c r="A19" s="7">
        <f ca="1">IFERROR(__xludf.DUMMYFUNCTION("""COMPUTED_VALUE"""),45242.5290141088)</f>
        <v>45242.529014108797</v>
      </c>
      <c r="B19" s="1" t="str">
        <f ca="1">IFERROR(__xludf.DUMMYFUNCTION("""COMPUTED_VALUE"""),"CEC")</f>
        <v>CEC</v>
      </c>
      <c r="C19" s="1" t="str">
        <f ca="1">IFERROR(__xludf.DUMMYFUNCTION("""COMPUTED_VALUE"""),"RY710890226TH")</f>
        <v>RY710890226TH</v>
      </c>
      <c r="D19" s="1" t="str">
        <f ca="1">IFERROR(__xludf.DUMMYFUNCTION("""COMPUTED_VALUE"""),"นนทวัฒน์")</f>
        <v>นนทวัฒน์</v>
      </c>
      <c r="E19" s="1" t="str">
        <f ca="1">IFERROR(__xludf.DUMMYFUNCTION("""COMPUTED_VALUE"""),"080-6473748")</f>
        <v>080-6473748</v>
      </c>
      <c r="F19" s="1" t="str">
        <f ca="1">IFERROR(__xludf.DUMMYFUNCTION("""COMPUTED_VALUE"""),"1/555 คอนโดเอื้ออมรสุข")</f>
        <v>1/555 คอนโดเอื้ออมรสุข</v>
      </c>
      <c r="G19" s="1" t="str">
        <f ca="1">IFERROR(__xludf.DUMMYFUNCTION("""COMPUTED_VALUE"""),"ตรวจสอบการนำจ่าย")</f>
        <v>ตรวจสอบการนำจ่าย</v>
      </c>
      <c r="H19" s="1" t="str">
        <f ca="1">IFERROR(__xludf.DUMMYFUNCTION("""COMPUTED_VALUE"""),"ซองบัตรเครดิต")</f>
        <v>ซองบัตรเครดิต</v>
      </c>
      <c r="I19" s="1" t="str">
        <f ca="1">IFERROR(__xludf.DUMMYFUNCTION("""COMPUTED_VALUE"""),"ตรวจสอบเจ้าหน้าที่นำจ่ายถูกต้องแล้ว")</f>
        <v>ตรวจสอบเจ้าหน้าที่นำจ่ายถูกต้องแล้ว</v>
      </c>
      <c r="J19" s="1" t="str">
        <f ca="1">IFERROR(__xludf.DUMMYFUNCTION("""COMPUTED_VALUE"""),"DB4")</f>
        <v>DB4</v>
      </c>
      <c r="K19" s="1" t="str">
        <f ca="1">IFERROR(__xludf.DUMMYFUNCTION("""COMPUTED_VALUE"""),"EMS10260EVD4012")</f>
        <v>EMS10260EVD4012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15.75" customHeight="1" x14ac:dyDescent="0.2">
      <c r="A20" s="7">
        <f ca="1">IFERROR(__xludf.DUMMYFUNCTION("""COMPUTED_VALUE"""),45242.5312263773)</f>
        <v>45242.531226377301</v>
      </c>
      <c r="B20" s="1" t="str">
        <f ca="1">IFERROR(__xludf.DUMMYFUNCTION("""COMPUTED_VALUE"""),"CEC")</f>
        <v>CEC</v>
      </c>
      <c r="C20" s="1" t="str">
        <f ca="1">IFERROR(__xludf.DUMMYFUNCTION("""COMPUTED_VALUE"""),"RI889493425TH")</f>
        <v>RI889493425TH</v>
      </c>
      <c r="D20" s="1" t="str">
        <f ca="1">IFERROR(__xludf.DUMMYFUNCTION("""COMPUTED_VALUE"""),"อัมผกา")</f>
        <v>อัมผกา</v>
      </c>
      <c r="E20" s="1" t="str">
        <f ca="1">IFERROR(__xludf.DUMMYFUNCTION("""COMPUTED_VALUE"""),"092-7747240")</f>
        <v>092-7747240</v>
      </c>
      <c r="F20" s="1" t="str">
        <f ca="1">IFERROR(__xludf.DUMMYFUNCTION("""COMPUTED_VALUE"""),"99/479 เอลิโอ สุขุมวิท 64")</f>
        <v>99/479 เอลิโอ สุขุมวิท 64</v>
      </c>
      <c r="G20" s="1" t="str">
        <f ca="1">IFERROR(__xludf.DUMMYFUNCTION("""COMPUTED_VALUE"""),"ตรวจสอบการนำจ่าย")</f>
        <v>ตรวจสอบการนำจ่าย</v>
      </c>
      <c r="H20" s="1" t="str">
        <f ca="1">IFERROR(__xludf.DUMMYFUNCTION("""COMPUTED_VALUE"""),"เอกสารตรวจสอบที่นิติแล้วไม่พบ")</f>
        <v>เอกสารตรวจสอบที่นิติแล้วไม่พบ</v>
      </c>
      <c r="I20" s="1"/>
      <c r="J20" s="1" t="str">
        <f ca="1">IFERROR(__xludf.DUMMYFUNCTION("""COMPUTED_VALUE"""),"นำจ่ายรถยนต์")</f>
        <v>นำจ่ายรถยนต์</v>
      </c>
      <c r="K20" s="1" t="str">
        <f ca="1">IFERROR(__xludf.DUMMYFUNCTION("""COMPUTED_VALUE"""),"CAR10260EVD5003")</f>
        <v>CAR10260EVD5003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15.75" customHeight="1" x14ac:dyDescent="0.2">
      <c r="A21" s="7">
        <f ca="1">IFERROR(__xludf.DUMMYFUNCTION("""COMPUTED_VALUE"""),45242.5325210995)</f>
        <v>45242.5325210995</v>
      </c>
      <c r="B21" s="1" t="str">
        <f ca="1">IFERROR(__xludf.DUMMYFUNCTION("""COMPUTED_VALUE"""),"CEC")</f>
        <v>CEC</v>
      </c>
      <c r="C21" s="1" t="str">
        <f ca="1">IFERROR(__xludf.DUMMYFUNCTION("""COMPUTED_VALUE"""),"RI896952550TH")</f>
        <v>RI896952550TH</v>
      </c>
      <c r="D21" s="1" t="str">
        <f ca="1">IFERROR(__xludf.DUMMYFUNCTION("""COMPUTED_VALUE"""),"วิลาสินี")</f>
        <v>วิลาสินี</v>
      </c>
      <c r="E21" s="1" t="str">
        <f ca="1">IFERROR(__xludf.DUMMYFUNCTION("""COMPUTED_VALUE"""),"064-5465556")</f>
        <v>064-5465556</v>
      </c>
      <c r="F21" s="1" t="str">
        <f ca="1">IFERROR(__xludf.DUMMYFUNCTION("""COMPUTED_VALUE"""),"1 ปุณณวิถี 24")</f>
        <v>1 ปุณณวิถี 24</v>
      </c>
      <c r="G21" s="1" t="str">
        <f ca="1">IFERROR(__xludf.DUMMYFUNCTION("""COMPUTED_VALUE"""),"ตรวจสอบการนำจ่าย")</f>
        <v>ตรวจสอบการนำจ่าย</v>
      </c>
      <c r="H21" s="1" t="str">
        <f ca="1">IFERROR(__xludf.DUMMYFUNCTION("""COMPUTED_VALUE"""),"รับเข้ายังไม่เตรียมการสอบถามกำชับการนำจ่าย")</f>
        <v>รับเข้ายังไม่เตรียมการสอบถามกำชับการนำจ่าย</v>
      </c>
      <c r="I21" s="1"/>
      <c r="J21" s="1" t="str">
        <f ca="1">IFERROR(__xludf.DUMMYFUNCTION("""COMPUTED_VALUE"""),"DB3")</f>
        <v>DB3</v>
      </c>
      <c r="K21" s="1" t="str">
        <f ca="1">IFERROR(__xludf.DUMMYFUNCTION("""COMPUTED_VALUE"""),"EMS10260EVD3019")</f>
        <v>EMS10260EVD3019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15.75" customHeight="1" x14ac:dyDescent="0.2">
      <c r="A22" s="7">
        <f ca="1">IFERROR(__xludf.DUMMYFUNCTION("""COMPUTED_VALUE"""),45243.4164828356)</f>
        <v>45243.416482835601</v>
      </c>
      <c r="B22" s="1" t="str">
        <f ca="1">IFERROR(__xludf.DUMMYFUNCTION("""COMPUTED_VALUE"""),"CEC")</f>
        <v>CEC</v>
      </c>
      <c r="C22" s="1" t="str">
        <f ca="1">IFERROR(__xludf.DUMMYFUNCTION("""COMPUTED_VALUE"""),"ED926681172TH")</f>
        <v>ED926681172TH</v>
      </c>
      <c r="D22" s="1" t="str">
        <f ca="1">IFERROR(__xludf.DUMMYFUNCTION("""COMPUTED_VALUE"""),"อริสรา")</f>
        <v>อริสรา</v>
      </c>
      <c r="E22" s="1" t="str">
        <f ca="1">IFERROR(__xludf.DUMMYFUNCTION("""COMPUTED_VALUE"""),"089-5336880")</f>
        <v>089-5336880</v>
      </c>
      <c r="F22" s="1" t="str">
        <f ca="1">IFERROR(__xludf.DUMMYFUNCTION("""COMPUTED_VALUE"""),"1211/22 คอนโดพาร์คแลนด์")</f>
        <v>1211/22 คอนโดพาร์คแลนด์</v>
      </c>
      <c r="G22" s="1" t="str">
        <f ca="1">IFERROR(__xludf.DUMMYFUNCTION("""COMPUTED_VALUE"""),"นำจ่ายใหม่")</f>
        <v>นำจ่ายใหม่</v>
      </c>
      <c r="H22" s="1" t="str">
        <f ca="1">IFERROR(__xludf.DUMMYFUNCTION("""COMPUTED_VALUE"""),"จ่าหน้าไม่ชัดเจน")</f>
        <v>จ่าหน้าไม่ชัดเจน</v>
      </c>
      <c r="I22" s="1"/>
      <c r="J22" s="1" t="str">
        <f ca="1">IFERROR(__xludf.DUMMYFUNCTION("""COMPUTED_VALUE"""),"นำจ่ายรถยนต์")</f>
        <v>นำจ่ายรถยนต์</v>
      </c>
      <c r="K22" s="1" t="str">
        <f ca="1">IFERROR(__xludf.DUMMYFUNCTION("""COMPUTED_VALUE"""),"CAR10260EVD5007")</f>
        <v>CAR10260EVD5007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15.75" customHeight="1" x14ac:dyDescent="0.2">
      <c r="A23" s="7">
        <f ca="1">IFERROR(__xludf.DUMMYFUNCTION("""COMPUTED_VALUE"""),45243.422502581)</f>
        <v>45243.422502581001</v>
      </c>
      <c r="B23" s="1" t="str">
        <f ca="1">IFERROR(__xludf.DUMMYFUNCTION("""COMPUTED_VALUE"""),"CEC")</f>
        <v>CEC</v>
      </c>
      <c r="C23" s="1" t="str">
        <f ca="1">IFERROR(__xludf.DUMMYFUNCTION("""COMPUTED_VALUE"""),"RL844750490TH")</f>
        <v>RL844750490TH</v>
      </c>
      <c r="D23" s="1" t="str">
        <f ca="1">IFERROR(__xludf.DUMMYFUNCTION("""COMPUTED_VALUE"""),"พรทิพย์")</f>
        <v>พรทิพย์</v>
      </c>
      <c r="E23" s="1" t="str">
        <f ca="1">IFERROR(__xludf.DUMMYFUNCTION("""COMPUTED_VALUE"""),"089-8974431")</f>
        <v>089-8974431</v>
      </c>
      <c r="F23" s="1" t="str">
        <f ca="1">IFERROR(__xludf.DUMMYFUNCTION("""COMPUTED_VALUE"""),"59/119 สุขุมวิท 103")</f>
        <v>59/119 สุขุมวิท 103</v>
      </c>
      <c r="G23" s="1" t="str">
        <f ca="1">IFERROR(__xludf.DUMMYFUNCTION("""COMPUTED_VALUE"""),"นำจ่ายใหม่")</f>
        <v>นำจ่ายใหม่</v>
      </c>
      <c r="H23" s="1" t="str">
        <f ca="1">IFERROR(__xludf.DUMMYFUNCTION("""COMPUTED_VALUE"""),"ออกใบแจ้ง 11/11/66")</f>
        <v>ออกใบแจ้ง 11/11/66</v>
      </c>
      <c r="I23" s="1" t="str">
        <f ca="1">IFERROR(__xludf.DUMMYFUNCTION("""COMPUTED_VALUE"""),"แจ้งดำเนินการแล้ว")</f>
        <v>แจ้งดำเนินการแล้ว</v>
      </c>
      <c r="J23" s="1" t="str">
        <f ca="1">IFERROR(__xludf.DUMMYFUNCTION("""COMPUTED_VALUE"""),"DB2")</f>
        <v>DB2</v>
      </c>
      <c r="K23" s="1" t="str">
        <f ca="1">IFERROR(__xludf.DUMMYFUNCTION("""COMPUTED_VALUE"""),"EMS10260EVD2021")</f>
        <v>EMS10260EVD2021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15.75" customHeight="1" x14ac:dyDescent="0.2">
      <c r="A24" s="7">
        <f ca="1">IFERROR(__xludf.DUMMYFUNCTION("""COMPUTED_VALUE"""),45243.5659128703)</f>
        <v>45243.565912870297</v>
      </c>
      <c r="B24" s="1" t="str">
        <f ca="1">IFERROR(__xludf.DUMMYFUNCTION("""COMPUTED_VALUE"""),"CEC")</f>
        <v>CEC</v>
      </c>
      <c r="C24" s="1" t="str">
        <f ca="1">IFERROR(__xludf.DUMMYFUNCTION("""COMPUTED_VALUE"""),"ed775195809th")</f>
        <v>ed775195809th</v>
      </c>
      <c r="D24" s="1" t="str">
        <f ca="1">IFERROR(__xludf.DUMMYFUNCTION("""COMPUTED_VALUE"""),"ชญากรณ์")</f>
        <v>ชญากรณ์</v>
      </c>
      <c r="E24" s="1" t="str">
        <f ca="1">IFERROR(__xludf.DUMMYFUNCTION("""COMPUTED_VALUE"""),"0923425711")</f>
        <v>0923425711</v>
      </c>
      <c r="F24" s="1" t="str">
        <f ca="1">IFERROR(__xludf.DUMMYFUNCTION("""COMPUTED_VALUE"""),"120 กองเรือลำน้ำ")</f>
        <v>120 กองเรือลำน้ำ</v>
      </c>
      <c r="G24" s="1" t="str">
        <f ca="1">IFERROR(__xludf.DUMMYFUNCTION("""COMPUTED_VALUE"""),"นำจ่ายใหม่")</f>
        <v>นำจ่ายใหม่</v>
      </c>
      <c r="H24" s="1" t="str">
        <f ca="1">IFERROR(__xludf.DUMMYFUNCTION("""COMPUTED_VALUE"""),"ศูยน์ราชการปิด")</f>
        <v>ศูยน์ราชการปิด</v>
      </c>
      <c r="I24" s="1" t="str">
        <f ca="1">IFERROR(__xludf.DUMMYFUNCTION("""COMPUTED_VALUE"""),"แจ้งเจ้าหน้านำจ่ายแล้ว")</f>
        <v>แจ้งเจ้าหน้านำจ่ายแล้ว</v>
      </c>
      <c r="J24" s="1" t="str">
        <f ca="1">IFERROR(__xludf.DUMMYFUNCTION("""COMPUTED_VALUE"""),"DB1")</f>
        <v>DB1</v>
      </c>
      <c r="K24" s="1" t="str">
        <f ca="1">IFERROR(__xludf.DUMMYFUNCTION("""COMPUTED_VALUE"""),"EMS10260EVD1002")</f>
        <v>EMS10260EVD1002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15.75" customHeight="1" x14ac:dyDescent="0.2">
      <c r="A25" s="7">
        <f ca="1">IFERROR(__xludf.DUMMYFUNCTION("""COMPUTED_VALUE"""),45243.5682356597)</f>
        <v>45243.568235659703</v>
      </c>
      <c r="B25" s="1" t="str">
        <f ca="1">IFERROR(__xludf.DUMMYFUNCTION("""COMPUTED_VALUE"""),"CEC")</f>
        <v>CEC</v>
      </c>
      <c r="C25" s="1" t="str">
        <f ca="1">IFERROR(__xludf.DUMMYFUNCTION("""COMPUTED_VALUE"""),"ry905927167th")</f>
        <v>ry905927167th</v>
      </c>
      <c r="D25" s="1" t="str">
        <f ca="1">IFERROR(__xludf.DUMMYFUNCTION("""COMPUTED_VALUE"""),"กันยารัตน์")</f>
        <v>กันยารัตน์</v>
      </c>
      <c r="E25" s="1" t="str">
        <f ca="1">IFERROR(__xludf.DUMMYFUNCTION("""COMPUTED_VALUE"""),"0633892464")</f>
        <v>0633892464</v>
      </c>
      <c r="F25" s="1" t="str">
        <f ca="1">IFERROR(__xludf.DUMMYFUNCTION("""COMPUTED_VALUE"""),"28 ถ.เกรณา ")</f>
        <v xml:space="preserve">28 ถ.เกรณา </v>
      </c>
      <c r="G25" s="1" t="str">
        <f ca="1">IFERROR(__xludf.DUMMYFUNCTION("""COMPUTED_VALUE"""),"ตรวจสอบการนำจ่าย")</f>
        <v>ตรวจสอบการนำจ่าย</v>
      </c>
      <c r="H25" s="1" t="str">
        <f ca="1">IFERROR(__xludf.DUMMYFUNCTION("""COMPUTED_VALUE"""),"ได้ตรวจสอบแล้วไม่มีการรับเข้าและนำจ่าย")</f>
        <v>ได้ตรวจสอบแล้วไม่มีการรับเข้าและนำจ่าย</v>
      </c>
      <c r="I25" s="1" t="str">
        <f ca="1">IFERROR(__xludf.DUMMYFUNCTION("""COMPUTED_VALUE"""),"ได้ตรวจสอบแล้วไม่มีการรับเข้าและนำจ่าย")</f>
        <v>ได้ตรวจสอบแล้วไม่มีการรับเข้าและนำจ่าย</v>
      </c>
      <c r="J25" s="1" t="str">
        <f ca="1">IFERROR(__xludf.DUMMYFUNCTION("""COMPUTED_VALUE"""),"บป")</f>
        <v>บป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15.75" customHeight="1" x14ac:dyDescent="0.2">
      <c r="A26" s="7">
        <f ca="1">IFERROR(__xludf.DUMMYFUNCTION("""COMPUTED_VALUE"""),45243.5796380555)</f>
        <v>45243.579638055497</v>
      </c>
      <c r="B26" s="1" t="str">
        <f ca="1">IFERROR(__xludf.DUMMYFUNCTION("""COMPUTED_VALUE"""),"CEC")</f>
        <v>CEC</v>
      </c>
      <c r="C26" s="1" t="str">
        <f ca="1">IFERROR(__xludf.DUMMYFUNCTION("""COMPUTED_VALUE"""),"em339150239th")</f>
        <v>em339150239th</v>
      </c>
      <c r="D26" s="1" t="str">
        <f ca="1">IFERROR(__xludf.DUMMYFUNCTION("""COMPUTED_VALUE"""),"ณิชากร")</f>
        <v>ณิชากร</v>
      </c>
      <c r="E26" s="1" t="str">
        <f ca="1">IFERROR(__xludf.DUMMYFUNCTION("""COMPUTED_VALUE"""),"0815656641")</f>
        <v>0815656641</v>
      </c>
      <c r="F26" s="1" t="str">
        <f ca="1">IFERROR(__xludf.DUMMYFUNCTION("""COMPUTED_VALUE"""),"21บางนตราด34")</f>
        <v>21บางนตราด34</v>
      </c>
      <c r="G26" s="1" t="str">
        <f ca="1">IFERROR(__xludf.DUMMYFUNCTION("""COMPUTED_VALUE"""),"นำจ่ายใหม่")</f>
        <v>นำจ่ายใหม่</v>
      </c>
      <c r="H26" s="1" t="str">
        <f ca="1">IFERROR(__xludf.DUMMYFUNCTION("""COMPUTED_VALUE"""),"ปิดนำจ่ายใหม่")</f>
        <v>ปิดนำจ่ายใหม่</v>
      </c>
      <c r="I26" s="1" t="str">
        <f ca="1">IFERROR(__xludf.DUMMYFUNCTION("""COMPUTED_VALUE"""),"แจ้งเจ้าหน้าที่นำจ่ายแล้ว")</f>
        <v>แจ้งเจ้าหน้าที่นำจ่ายแล้ว</v>
      </c>
      <c r="J26" s="1" t="str">
        <f ca="1">IFERROR(__xludf.DUMMYFUNCTION("""COMPUTED_VALUE"""),"DB1")</f>
        <v>DB1</v>
      </c>
      <c r="K26" s="1" t="str">
        <f ca="1">IFERROR(__xludf.DUMMYFUNCTION("""COMPUTED_VALUE"""),"EMS10260EVD1031")</f>
        <v>EMS10260EVD1031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15.75" customHeight="1" x14ac:dyDescent="0.2">
      <c r="A27" s="7">
        <f ca="1">IFERROR(__xludf.DUMMYFUNCTION("""COMPUTED_VALUE"""),45243.5820872916)</f>
        <v>45243.582087291601</v>
      </c>
      <c r="B27" s="1" t="str">
        <f ca="1">IFERROR(__xludf.DUMMYFUNCTION("""COMPUTED_VALUE"""),"CEC")</f>
        <v>CEC</v>
      </c>
      <c r="C27" s="1" t="str">
        <f ca="1">IFERROR(__xludf.DUMMYFUNCTION("""COMPUTED_VALUE"""),"ey194091297th")</f>
        <v>ey194091297th</v>
      </c>
      <c r="D27" s="1" t="str">
        <f ca="1">IFERROR(__xludf.DUMMYFUNCTION("""COMPUTED_VALUE"""),"ภัคนันท์")</f>
        <v>ภัคนันท์</v>
      </c>
      <c r="E27" s="1" t="str">
        <f ca="1">IFERROR(__xludf.DUMMYFUNCTION("""COMPUTED_VALUE"""),"0816167699")</f>
        <v>0816167699</v>
      </c>
      <c r="F27" s="1" t="str">
        <f ca="1">IFERROR(__xludf.DUMMYFUNCTION("""COMPUTED_VALUE"""),"12/142 ซ68")</f>
        <v>12/142 ซ68</v>
      </c>
      <c r="G27" s="1" t="str">
        <f ca="1">IFERROR(__xludf.DUMMYFUNCTION("""COMPUTED_VALUE"""),"นำจ่ายใหม่")</f>
        <v>นำจ่ายใหม่</v>
      </c>
      <c r="H27" s="1" t="str">
        <f ca="1">IFERROR(__xludf.DUMMYFUNCTION("""COMPUTED_VALUE"""),"บ้าน/สำนักงานปิด")</f>
        <v>บ้าน/สำนักงานปิด</v>
      </c>
      <c r="I27" s="1" t="str">
        <f ca="1">IFERROR(__xludf.DUMMYFUNCTION("""COMPUTED_VALUE"""),"แจ้งเจ้าหน้าที่นำจ่ายแล้ว")</f>
        <v>แจ้งเจ้าหน้าที่นำจ่ายแล้ว</v>
      </c>
      <c r="J27" s="1" t="str">
        <f ca="1">IFERROR(__xludf.DUMMYFUNCTION("""COMPUTED_VALUE"""),"นำจ่ายรถยนต์")</f>
        <v>นำจ่ายรถยนต์</v>
      </c>
      <c r="K27" s="1" t="str">
        <f ca="1">IFERROR(__xludf.DUMMYFUNCTION("""COMPUTED_VALUE"""),"CAR10260EVD5003")</f>
        <v>CAR10260EVD5003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15.75" customHeight="1" x14ac:dyDescent="0.2">
      <c r="A28" s="7">
        <f ca="1">IFERROR(__xludf.DUMMYFUNCTION("""COMPUTED_VALUE"""),45243.5842777662)</f>
        <v>45243.584277766196</v>
      </c>
      <c r="B28" s="1" t="str">
        <f ca="1">IFERROR(__xludf.DUMMYFUNCTION("""COMPUTED_VALUE"""),"CEC")</f>
        <v>CEC</v>
      </c>
      <c r="C28" s="1" t="str">
        <f ca="1">IFERROR(__xludf.DUMMYFUNCTION("""COMPUTED_VALUE"""),"ef405567920th")</f>
        <v>ef405567920th</v>
      </c>
      <c r="D28" s="1" t="str">
        <f ca="1">IFERROR(__xludf.DUMMYFUNCTION("""COMPUTED_VALUE"""),"อำพร")</f>
        <v>อำพร</v>
      </c>
      <c r="E28" s="1" t="str">
        <f ca="1">IFERROR(__xludf.DUMMYFUNCTION("""COMPUTED_VALUE"""),"0897543989")</f>
        <v>0897543989</v>
      </c>
      <c r="F28" s="1" t="str">
        <f ca="1">IFERROR(__xludf.DUMMYFUNCTION("""COMPUTED_VALUE"""),"491/1  ซ.วชิรธรรมสาธิต31")</f>
        <v>491/1  ซ.วชิรธรรมสาธิต31</v>
      </c>
      <c r="G28" s="1" t="str">
        <f ca="1">IFERROR(__xludf.DUMMYFUNCTION("""COMPUTED_VALUE"""),"นำจ่ายใหม่")</f>
        <v>นำจ่ายใหม่</v>
      </c>
      <c r="H28" s="1" t="str">
        <f ca="1">IFERROR(__xludf.DUMMYFUNCTION("""COMPUTED_VALUE"""),"ออกใบแจ้ง")</f>
        <v>ออกใบแจ้ง</v>
      </c>
      <c r="I28" s="1" t="str">
        <f ca="1">IFERROR(__xludf.DUMMYFUNCTION("""COMPUTED_VALUE"""),"แจ้งเจ้าหน้าที่นำจ่ายแล้ว")</f>
        <v>แจ้งเจ้าหน้าที่นำจ่ายแล้ว</v>
      </c>
      <c r="J28" s="1" t="str">
        <f ca="1">IFERROR(__xludf.DUMMYFUNCTION("""COMPUTED_VALUE"""),"DB3")</f>
        <v>DB3</v>
      </c>
      <c r="K28" s="1" t="str">
        <f ca="1">IFERROR(__xludf.DUMMYFUNCTION("""COMPUTED_VALUE"""),"EMS10260EVD3024")</f>
        <v>EMS10260EVD3024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15.75" customHeight="1" x14ac:dyDescent="0.2">
      <c r="A29" s="7">
        <f ca="1">IFERROR(__xludf.DUMMYFUNCTION("""COMPUTED_VALUE"""),45243.5857986574)</f>
        <v>45243.585798657397</v>
      </c>
      <c r="B29" s="1" t="str">
        <f ca="1">IFERROR(__xludf.DUMMYFUNCTION("""COMPUTED_VALUE"""),"CEC")</f>
        <v>CEC</v>
      </c>
      <c r="C29" s="1" t="str">
        <f ca="1">IFERROR(__xludf.DUMMYFUNCTION("""COMPUTED_VALUE"""),"rk775264495th")</f>
        <v>rk775264495th</v>
      </c>
      <c r="D29" s="1" t="str">
        <f ca="1">IFERROR(__xludf.DUMMYFUNCTION("""COMPUTED_VALUE"""),"นิรภาดา")</f>
        <v>นิรภาดา</v>
      </c>
      <c r="E29" s="1" t="str">
        <f ca="1">IFERROR(__xludf.DUMMYFUNCTION("""COMPUTED_VALUE"""),"0893536966")</f>
        <v>0893536966</v>
      </c>
      <c r="F29" s="1" t="str">
        <f ca="1">IFERROR(__xludf.DUMMYFUNCTION("""COMPUTED_VALUE"""),"2097/380")</f>
        <v>2097/380</v>
      </c>
      <c r="G29" s="1" t="str">
        <f ca="1">IFERROR(__xludf.DUMMYFUNCTION("""COMPUTED_VALUE"""),"ตรวจสอบการนำจ่าย")</f>
        <v>ตรวจสอบการนำจ่าย</v>
      </c>
      <c r="H29" s="1" t="str">
        <f ca="1">IFERROR(__xludf.DUMMYFUNCTION("""COMPUTED_VALUE"""),"แจ้งเปลื่อน เบอร์โทรศัพย์")</f>
        <v>แจ้งเปลื่อน เบอร์โทรศัพย์</v>
      </c>
      <c r="I29" s="1" t="str">
        <f ca="1">IFERROR(__xludf.DUMMYFUNCTION("""COMPUTED_VALUE"""),"แจ้งหน้าทีนำจ่ายแล้ว")</f>
        <v>แจ้งหน้าทีนำจ่ายแล้ว</v>
      </c>
      <c r="J29" s="1" t="str">
        <f ca="1">IFERROR(__xludf.DUMMYFUNCTION("""COMPUTED_VALUE"""),"นำจ่ายรถยนต์")</f>
        <v>นำจ่ายรถยนต์</v>
      </c>
      <c r="K29" s="1" t="str">
        <f ca="1">IFERROR(__xludf.DUMMYFUNCTION("""COMPUTED_VALUE"""),"CAR10260EVD5013")</f>
        <v>CAR10260EVD5013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15.75" customHeight="1" x14ac:dyDescent="0.2">
      <c r="A30" s="7">
        <f ca="1">IFERROR(__xludf.DUMMYFUNCTION("""COMPUTED_VALUE"""),45243.5874686921)</f>
        <v>45243.587468692102</v>
      </c>
      <c r="B30" s="1" t="str">
        <f ca="1">IFERROR(__xludf.DUMMYFUNCTION("""COMPUTED_VALUE"""),"CEC")</f>
        <v>CEC</v>
      </c>
      <c r="C30" s="1" t="str">
        <f ca="1">IFERROR(__xludf.DUMMYFUNCTION("""COMPUTED_VALUE"""),"eb504717974th")</f>
        <v>eb504717974th</v>
      </c>
      <c r="D30" s="1" t="str">
        <f ca="1">IFERROR(__xludf.DUMMYFUNCTION("""COMPUTED_VALUE"""),"วีระชัย")</f>
        <v>วีระชัย</v>
      </c>
      <c r="E30" s="1" t="str">
        <f ca="1">IFERROR(__xludf.DUMMYFUNCTION("""COMPUTED_VALUE"""),"0895185050")</f>
        <v>0895185050</v>
      </c>
      <c r="F30" s="1" t="str">
        <f ca="1">IFERROR(__xludf.DUMMYFUNCTION("""COMPUTED_VALUE"""),"1 วชิรธรรมสาธิต  2")</f>
        <v>1 วชิรธรรมสาธิต  2</v>
      </c>
      <c r="G30" s="1" t="str">
        <f ca="1">IFERROR(__xludf.DUMMYFUNCTION("""COMPUTED_VALUE"""),"ตรวจสอบการนำจ่าย")</f>
        <v>ตรวจสอบการนำจ่าย</v>
      </c>
      <c r="H30" s="1" t="str">
        <f ca="1">IFERROR(__xludf.DUMMYFUNCTION("""COMPUTED_VALUE"""),"ผู้รับไม่ได้รับสิ่งของ")</f>
        <v>ผู้รับไม่ได้รับสิ่งของ</v>
      </c>
      <c r="I30" s="1" t="str">
        <f ca="1">IFERROR(__xludf.DUMMYFUNCTION("""COMPUTED_VALUE"""),"แจ้งซนจ และเจ้าหน้านำจ่ายแล้ว")</f>
        <v>แจ้งซนจ และเจ้าหน้านำจ่ายแล้ว</v>
      </c>
      <c r="J30" s="1" t="str">
        <f ca="1">IFERROR(__xludf.DUMMYFUNCTION("""COMPUTED_VALUE"""),"DB2")</f>
        <v>DB2</v>
      </c>
      <c r="K30" s="1" t="str">
        <f ca="1">IFERROR(__xludf.DUMMYFUNCTION("""COMPUTED_VALUE"""),"EMS10260EVD2020")</f>
        <v>EMS10260EVD2020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15.75" customHeight="1" x14ac:dyDescent="0.2">
      <c r="A31" s="7">
        <f ca="1">IFERROR(__xludf.DUMMYFUNCTION("""COMPUTED_VALUE"""),45243.5949992361)</f>
        <v>45243.594999236098</v>
      </c>
      <c r="B31" s="1" t="str">
        <f ca="1">IFERROR(__xludf.DUMMYFUNCTION("""COMPUTED_VALUE"""),"CEC")</f>
        <v>CEC</v>
      </c>
      <c r="C31" s="1" t="str">
        <f ca="1">IFERROR(__xludf.DUMMYFUNCTION("""COMPUTED_VALUE"""),"ed990607119th")</f>
        <v>ed990607119th</v>
      </c>
      <c r="D31" s="1" t="str">
        <f ca="1">IFERROR(__xludf.DUMMYFUNCTION("""COMPUTED_VALUE"""),"คิม")</f>
        <v>คิม</v>
      </c>
      <c r="E31" s="1" t="str">
        <f ca="1">IFERROR(__xludf.DUMMYFUNCTION("""COMPUTED_VALUE"""),"0840818408")</f>
        <v>0840818408</v>
      </c>
      <c r="F31" s="1" t="str">
        <f ca="1">IFERROR(__xludf.DUMMYFUNCTION("""COMPUTED_VALUE"""),"58 อุดทสุข 4ปากซอย")</f>
        <v>58 อุดทสุข 4ปากซอย</v>
      </c>
      <c r="G31" s="1" t="str">
        <f ca="1">IFERROR(__xludf.DUMMYFUNCTION("""COMPUTED_VALUE"""),"นำจ่ายใหม่")</f>
        <v>นำจ่ายใหม่</v>
      </c>
      <c r="H31" s="1" t="str">
        <f ca="1">IFERROR(__xludf.DUMMYFUNCTION("""COMPUTED_VALUE"""),"บ้านปิด")</f>
        <v>บ้านปิด</v>
      </c>
      <c r="I31" s="1" t="str">
        <f ca="1">IFERROR(__xludf.DUMMYFUNCTION("""COMPUTED_VALUE"""),"แจ้าหน้าที่นำจ่าย และแแจ้งซนจแล้ว")</f>
        <v>แจ้าหน้าที่นำจ่าย และแแจ้งซนจแล้ว</v>
      </c>
      <c r="J31" s="1" t="str">
        <f ca="1">IFERROR(__xludf.DUMMYFUNCTION("""COMPUTED_VALUE"""),"นำจ่ายรถยนต์")</f>
        <v>นำจ่ายรถยนต์</v>
      </c>
      <c r="K31" s="1" t="str">
        <f ca="1">IFERROR(__xludf.DUMMYFUNCTION("""COMPUTED_VALUE"""),"CAR10260EVD5010")</f>
        <v>CAR10260EVD5010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15.75" customHeight="1" x14ac:dyDescent="0.2">
      <c r="A32" s="7">
        <f ca="1">IFERROR(__xludf.DUMMYFUNCTION("""COMPUTED_VALUE"""),45243.5968705208)</f>
        <v>45243.5968705208</v>
      </c>
      <c r="B32" s="1" t="str">
        <f ca="1">IFERROR(__xludf.DUMMYFUNCTION("""COMPUTED_VALUE"""),"CEC")</f>
        <v>CEC</v>
      </c>
      <c r="C32" s="1" t="str">
        <f ca="1">IFERROR(__xludf.DUMMYFUNCTION("""COMPUTED_VALUE"""),"rk1517013621th")</f>
        <v>rk1517013621th</v>
      </c>
      <c r="D32" s="1" t="str">
        <f ca="1">IFERROR(__xludf.DUMMYFUNCTION("""COMPUTED_VALUE"""),"ยวงเยาว์")</f>
        <v>ยวงเยาว์</v>
      </c>
      <c r="E32" s="1" t="str">
        <f ca="1">IFERROR(__xludf.DUMMYFUNCTION("""COMPUTED_VALUE"""),"09549592220")</f>
        <v>09549592220</v>
      </c>
      <c r="F32" s="1" t="str">
        <f ca="1">IFERROR(__xludf.DUMMYFUNCTION("""COMPUTED_VALUE"""),"265 อุดมสุข 41")</f>
        <v>265 อุดมสุข 41</v>
      </c>
      <c r="G32" s="1" t="str">
        <f ca="1">IFERROR(__xludf.DUMMYFUNCTION("""COMPUTED_VALUE"""),"นำจ่ายใหม่")</f>
        <v>นำจ่ายใหม่</v>
      </c>
      <c r="H32" s="1" t="str">
        <f ca="1">IFERROR(__xludf.DUMMYFUNCTION("""COMPUTED_VALUE"""),"ออกใบแจ้ง")</f>
        <v>ออกใบแจ้ง</v>
      </c>
      <c r="I32" s="1" t="str">
        <f ca="1">IFERROR(__xludf.DUMMYFUNCTION("""COMPUTED_VALUE"""),"แจ้งซนจ/เจ้าหน้ำทีิ่นำจ่ายแล้ว")</f>
        <v>แจ้งซนจ/เจ้าหน้ำทีิ่นำจ่ายแล้ว</v>
      </c>
      <c r="J32" s="1" t="str">
        <f ca="1">IFERROR(__xludf.DUMMYFUNCTION("""COMPUTED_VALUE"""),"DB3")</f>
        <v>DB3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15.75" customHeight="1" x14ac:dyDescent="0.2">
      <c r="A33" s="7">
        <f ca="1">IFERROR(__xludf.DUMMYFUNCTION("""COMPUTED_VALUE"""),45243.5987650694)</f>
        <v>45243.598765069401</v>
      </c>
      <c r="B33" s="1" t="str">
        <f ca="1">IFERROR(__xludf.DUMMYFUNCTION("""COMPUTED_VALUE"""),"CEC")</f>
        <v>CEC</v>
      </c>
      <c r="C33" s="1" t="str">
        <f ca="1">IFERROR(__xludf.DUMMYFUNCTION("""COMPUTED_VALUE"""),"ef174556093th")</f>
        <v>ef174556093th</v>
      </c>
      <c r="D33" s="1" t="str">
        <f ca="1">IFERROR(__xludf.DUMMYFUNCTION("""COMPUTED_VALUE"""),"ประจวบ")</f>
        <v>ประจวบ</v>
      </c>
      <c r="E33" s="1" t="str">
        <f ca="1">IFERROR(__xludf.DUMMYFUNCTION("""COMPUTED_VALUE"""),"0800877669")</f>
        <v>0800877669</v>
      </c>
      <c r="F33" s="1" t="str">
        <f ca="1">IFERROR(__xludf.DUMMYFUNCTION("""COMPUTED_VALUE"""),"1448ม.พรไพลิน  ซอย3")</f>
        <v>1448ม.พรไพลิน  ซอย3</v>
      </c>
      <c r="G33" s="1" t="str">
        <f ca="1">IFERROR(__xludf.DUMMYFUNCTION("""COMPUTED_VALUE"""),"ตรวจสอบการนำจ่าย")</f>
        <v>ตรวจสอบการนำจ่าย</v>
      </c>
      <c r="H33" s="1" t="str">
        <f ca="1">IFERROR(__xludf.DUMMYFUNCTION("""COMPUTED_VALUE"""),"ผู้รับไม่ได้รับสิ่งของ")</f>
        <v>ผู้รับไม่ได้รับสิ่งของ</v>
      </c>
      <c r="I33" s="1" t="str">
        <f ca="1">IFERROR(__xludf.DUMMYFUNCTION("""COMPUTED_VALUE"""),"แจ้งซนจและเจ้าหน้านำจ่ายแล้ว")</f>
        <v>แจ้งซนจและเจ้าหน้านำจ่ายแล้ว</v>
      </c>
      <c r="J33" s="1" t="str">
        <f ca="1">IFERROR(__xludf.DUMMYFUNCTION("""COMPUTED_VALUE"""),"DB3")</f>
        <v>DB3</v>
      </c>
      <c r="K33" s="1" t="str">
        <f ca="1">IFERROR(__xludf.DUMMYFUNCTION("""COMPUTED_VALUE"""),"EMS10260EVD3032")</f>
        <v>EMS10260EVD3032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15.75" customHeight="1" x14ac:dyDescent="0.2">
      <c r="A34" s="7">
        <f ca="1">IFERROR(__xludf.DUMMYFUNCTION("""COMPUTED_VALUE"""),45243.6253654976)</f>
        <v>45243.625365497603</v>
      </c>
      <c r="B34" s="1" t="str">
        <f ca="1">IFERROR(__xludf.DUMMYFUNCTION("""COMPUTED_VALUE"""),"CEC")</f>
        <v>CEC</v>
      </c>
      <c r="C34" s="1" t="str">
        <f ca="1">IFERROR(__xludf.DUMMYFUNCTION("""COMPUTED_VALUE"""),"eb516453585th")</f>
        <v>eb516453585th</v>
      </c>
      <c r="D34" s="1" t="str">
        <f ca="1">IFERROR(__xludf.DUMMYFUNCTION("""COMPUTED_VALUE"""),"ร้านพิพัฒน์ อะไร")</f>
        <v>ร้านพิพัฒน์ อะไร</v>
      </c>
      <c r="E34" s="1" t="str">
        <f ca="1">IFERROR(__xludf.DUMMYFUNCTION("""COMPUTED_VALUE"""),"0957408867")</f>
        <v>0957408867</v>
      </c>
      <c r="F34" s="1" t="str">
        <f ca="1">IFERROR(__xludf.DUMMYFUNCTION("""COMPUTED_VALUE"""),"317-3121")</f>
        <v>317-3121</v>
      </c>
      <c r="G34" s="1" t="str">
        <f ca="1">IFERROR(__xludf.DUMMYFUNCTION("""COMPUTED_VALUE"""),"นำจ่ายใหม่")</f>
        <v>นำจ่ายใหม่</v>
      </c>
      <c r="H34" s="1" t="str">
        <f ca="1">IFERROR(__xludf.DUMMYFUNCTION("""COMPUTED_VALUE"""),"บ้านปิด")</f>
        <v>บ้านปิด</v>
      </c>
      <c r="I34" s="1" t="str">
        <f ca="1">IFERROR(__xludf.DUMMYFUNCTION("""COMPUTED_VALUE"""),"แจ้งซนจและเจ้าหน้านำจ่ายแล้ว")</f>
        <v>แจ้งซนจและเจ้าหน้านำจ่ายแล้ว</v>
      </c>
      <c r="J34" s="1" t="str">
        <f ca="1">IFERROR(__xludf.DUMMYFUNCTION("""COMPUTED_VALUE"""),"DB2")</f>
        <v>DB2</v>
      </c>
      <c r="K34" s="1" t="str">
        <f ca="1">IFERROR(__xludf.DUMMYFUNCTION("""COMPUTED_VALUE"""),"EMS10260EVD2020")</f>
        <v>EMS10260EVD2020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15.75" customHeight="1" x14ac:dyDescent="0.2">
      <c r="A35" s="7">
        <f ca="1">IFERROR(__xludf.DUMMYFUNCTION("""COMPUTED_VALUE"""),45244.3161157754)</f>
        <v>45244.3161157754</v>
      </c>
      <c r="B35" s="1" t="str">
        <f ca="1">IFERROR(__xludf.DUMMYFUNCTION("""COMPUTED_VALUE"""),"CEC")</f>
        <v>CEC</v>
      </c>
      <c r="C35" s="1" t="str">
        <f ca="1">IFERROR(__xludf.DUMMYFUNCTION("""COMPUTED_VALUE"""),"RY710880440TH")</f>
        <v>RY710880440TH</v>
      </c>
      <c r="D35" s="1" t="str">
        <f ca="1">IFERROR(__xludf.DUMMYFUNCTION("""COMPUTED_VALUE"""),"เรียวดะ")</f>
        <v>เรียวดะ</v>
      </c>
      <c r="E35" s="1" t="str">
        <f ca="1">IFERROR(__xludf.DUMMYFUNCTION("""COMPUTED_VALUE"""),"094-7169494")</f>
        <v>094-7169494</v>
      </c>
      <c r="F35" s="1" t="str">
        <f ca="1">IFERROR(__xludf.DUMMYFUNCTION("""COMPUTED_VALUE"""),"ทรูช๊อป เซ็นทรัลบางนา")</f>
        <v>ทรูช๊อป เซ็นทรัลบางนา</v>
      </c>
      <c r="G35" s="1" t="str">
        <f ca="1">IFERROR(__xludf.DUMMYFUNCTION("""COMPUTED_VALUE"""),"ตรวจสอบการนำจ่าย")</f>
        <v>ตรวจสอบการนำจ่าย</v>
      </c>
      <c r="H35" s="1" t="str">
        <f ca="1">IFERROR(__xludf.DUMMYFUNCTION("""COMPUTED_VALUE"""),"ผู้รับไม่แน่ใจจ่าหน้า ต้องการทราบจุดนำจ่าย")</f>
        <v>ผู้รับไม่แน่ใจจ่าหน้า ต้องการทราบจุดนำจ่าย</v>
      </c>
      <c r="I35" s="1"/>
      <c r="J35" s="1" t="str">
        <f ca="1">IFERROR(__xludf.DUMMYFUNCTION("""COMPUTED_VALUE"""),"DB2")</f>
        <v>DB2</v>
      </c>
      <c r="K35" s="1" t="str">
        <f ca="1">IFERROR(__xludf.DUMMYFUNCTION("""COMPUTED_VALUE"""),"EMS10260EVD2009")</f>
        <v>EMS10260EVD2009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15.75" customHeight="1" x14ac:dyDescent="0.2">
      <c r="A36" s="7">
        <f ca="1">IFERROR(__xludf.DUMMYFUNCTION("""COMPUTED_VALUE"""),45244.3183656712)</f>
        <v>45244.318365671199</v>
      </c>
      <c r="B36" s="1" t="str">
        <f ca="1">IFERROR(__xludf.DUMMYFUNCTION("""COMPUTED_VALUE"""),"CEC")</f>
        <v>CEC</v>
      </c>
      <c r="C36" s="1" t="str">
        <f ca="1">IFERROR(__xludf.DUMMYFUNCTION("""COMPUTED_VALUE"""),"RE892238665TH")</f>
        <v>RE892238665TH</v>
      </c>
      <c r="D36" s="1" t="str">
        <f ca="1">IFERROR(__xludf.DUMMYFUNCTION("""COMPUTED_VALUE"""),"วีระสกล")</f>
        <v>วีระสกล</v>
      </c>
      <c r="E36" s="1" t="str">
        <f ca="1">IFERROR(__xludf.DUMMYFUNCTION("""COMPUTED_VALUE"""),"095-4590440")</f>
        <v>095-4590440</v>
      </c>
      <c r="F36" s="1" t="str">
        <f ca="1">IFERROR(__xludf.DUMMYFUNCTION("""COMPUTED_VALUE"""),"119/48 ม.ลีออง สุขุมวิท 62")</f>
        <v>119/48 ม.ลีออง สุขุมวิท 62</v>
      </c>
      <c r="G36" s="1" t="str">
        <f ca="1">IFERROR(__xludf.DUMMYFUNCTION("""COMPUTED_VALUE"""),"ตรวจสอบการนำจ่าย")</f>
        <v>ตรวจสอบการนำจ่าย</v>
      </c>
      <c r="H36" s="1" t="str">
        <f ca="1">IFERROR(__xludf.DUMMYFUNCTION("""COMPUTED_VALUE"""),"นำจ่าย 19/8/66 ผู้รับไม่ได้รับ")</f>
        <v>นำจ่าย 19/8/66 ผู้รับไม่ได้รับ</v>
      </c>
      <c r="I36" s="1"/>
      <c r="J36" s="1" t="str">
        <f ca="1">IFERROR(__xludf.DUMMYFUNCTION("""COMPUTED_VALUE"""),"DB3")</f>
        <v>DB3</v>
      </c>
      <c r="K36" s="1" t="str">
        <f ca="1">IFERROR(__xludf.DUMMYFUNCTION("""COMPUTED_VALUE"""),"GEN07263EVD0316")</f>
        <v>GEN07263EVD0316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15.75" customHeight="1" x14ac:dyDescent="0.2">
      <c r="A37" s="7">
        <f ca="1">IFERROR(__xludf.DUMMYFUNCTION("""COMPUTED_VALUE"""),45244.3200428356)</f>
        <v>45244.320042835599</v>
      </c>
      <c r="B37" s="1" t="str">
        <f ca="1">IFERROR(__xludf.DUMMYFUNCTION("""COMPUTED_VALUE"""),"CEC")</f>
        <v>CEC</v>
      </c>
      <c r="C37" s="1" t="str">
        <f ca="1">IFERROR(__xludf.DUMMYFUNCTION("""COMPUTED_VALUE"""),"EB949589661TH")</f>
        <v>EB949589661TH</v>
      </c>
      <c r="D37" s="1" t="str">
        <f ca="1">IFERROR(__xludf.DUMMYFUNCTION("""COMPUTED_VALUE"""),"วลัยพรรณ")</f>
        <v>วลัยพรรณ</v>
      </c>
      <c r="E37" s="1" t="str">
        <f ca="1">IFERROR(__xludf.DUMMYFUNCTION("""COMPUTED_VALUE"""),"095-9092463")</f>
        <v>095-9092463</v>
      </c>
      <c r="F37" s="1" t="str">
        <f ca="1">IFERROR(__xludf.DUMMYFUNCTION("""COMPUTED_VALUE"""),"27 บางนาตราด 19 แยก 8")</f>
        <v>27 บางนาตราด 19 แยก 8</v>
      </c>
      <c r="G37" s="1" t="str">
        <f ca="1">IFERROR(__xludf.DUMMYFUNCTION("""COMPUTED_VALUE"""),"นำจ่ายใหม่")</f>
        <v>นำจ่ายใหม่</v>
      </c>
      <c r="H37" s="1" t="str">
        <f ca="1">IFERROR(__xludf.DUMMYFUNCTION("""COMPUTED_VALUE"""),"ส่วนราชการ/บริษัทหยุด")</f>
        <v>ส่วนราชการ/บริษัทหยุด</v>
      </c>
      <c r="I37" s="1" t="str">
        <f ca="1">IFERROR(__xludf.DUMMYFUNCTION("""COMPUTED_VALUE"""),"นำจ่ายใหม่แล้ว")</f>
        <v>นำจ่ายใหม่แล้ว</v>
      </c>
      <c r="J37" s="1" t="str">
        <f ca="1">IFERROR(__xludf.DUMMYFUNCTION("""COMPUTED_VALUE"""),"DB2")</f>
        <v>DB2</v>
      </c>
      <c r="K37" s="1" t="str">
        <f ca="1">IFERROR(__xludf.DUMMYFUNCTION("""COMPUTED_VALUE"""),"EMS10260EVD2008")</f>
        <v>EMS10260EVD2008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15.75" customHeight="1" x14ac:dyDescent="0.2">
      <c r="A38" s="7">
        <f ca="1">IFERROR(__xludf.DUMMYFUNCTION("""COMPUTED_VALUE"""),45244.3218442476)</f>
        <v>45244.321844247599</v>
      </c>
      <c r="B38" s="1" t="str">
        <f ca="1">IFERROR(__xludf.DUMMYFUNCTION("""COMPUTED_VALUE"""),"CEC")</f>
        <v>CEC</v>
      </c>
      <c r="C38" s="1" t="str">
        <f ca="1">IFERROR(__xludf.DUMMYFUNCTION("""COMPUTED_VALUE"""),"EM361947082TH")</f>
        <v>EM361947082TH</v>
      </c>
      <c r="D38" s="1" t="str">
        <f ca="1">IFERROR(__xludf.DUMMYFUNCTION("""COMPUTED_VALUE"""),"ผู้ส่ง 097-1463417")</f>
        <v>ผู้ส่ง 097-1463417</v>
      </c>
      <c r="E38" s="1" t="str">
        <f ca="1">IFERROR(__xludf.DUMMYFUNCTION("""COMPUTED_VALUE"""),"099-9722359")</f>
        <v>099-9722359</v>
      </c>
      <c r="F38" s="1" t="str">
        <f ca="1">IFERROR(__xludf.DUMMYFUNCTION("""COMPUTED_VALUE"""),"194 ถ.ลาซาล")</f>
        <v>194 ถ.ลาซาล</v>
      </c>
      <c r="G38" s="1" t="str">
        <f ca="1">IFERROR(__xludf.DUMMYFUNCTION("""COMPUTED_VALUE"""),"นำจ่ายใหม่")</f>
        <v>นำจ่ายใหม่</v>
      </c>
      <c r="H38" s="1" t="str">
        <f ca="1">IFERROR(__xludf.DUMMYFUNCTION("""COMPUTED_VALUE"""),"COD 420 บ")</f>
        <v>COD 420 บ</v>
      </c>
      <c r="I38" s="1"/>
      <c r="J38" s="1" t="str">
        <f ca="1">IFERROR(__xludf.DUMMYFUNCTION("""COMPUTED_VALUE"""),"DB1")</f>
        <v>DB1</v>
      </c>
      <c r="K38" s="1" t="str">
        <f ca="1">IFERROR(__xludf.DUMMYFUNCTION("""COMPUTED_VALUE"""),"EMS10260EVD1019")</f>
        <v>EMS10260EVD1019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15.75" customHeight="1" x14ac:dyDescent="0.2">
      <c r="A39" s="7">
        <f ca="1">IFERROR(__xludf.DUMMYFUNCTION("""COMPUTED_VALUE"""),45244.3243956365)</f>
        <v>45244.324395636497</v>
      </c>
      <c r="B39" s="1" t="str">
        <f ca="1">IFERROR(__xludf.DUMMYFUNCTION("""COMPUTED_VALUE"""),"CEC")</f>
        <v>CEC</v>
      </c>
      <c r="C39" s="1" t="str">
        <f ca="1">IFERROR(__xludf.DUMMYFUNCTION("""COMPUTED_VALUE"""),"EM440678839TH")</f>
        <v>EM440678839TH</v>
      </c>
      <c r="D39" s="1" t="str">
        <f ca="1">IFERROR(__xludf.DUMMYFUNCTION("""COMPUTED_VALUE"""),"เตอร์")</f>
        <v>เตอร์</v>
      </c>
      <c r="E39" s="1" t="str">
        <f ca="1">IFERROR(__xludf.DUMMYFUNCTION("""COMPUTED_VALUE"""),"065-4891821")</f>
        <v>065-4891821</v>
      </c>
      <c r="F39" s="1" t="str">
        <f ca="1">IFERROR(__xludf.DUMMYFUNCTION("""COMPUTED_VALUE"""),"557 ตึกจักรพงษ์ ลาซาล 24")</f>
        <v>557 ตึกจักรพงษ์ ลาซาล 24</v>
      </c>
      <c r="G39" s="1" t="str">
        <f ca="1">IFERROR(__xludf.DUMMYFUNCTION("""COMPUTED_VALUE"""),"นำจ่ายใหม่")</f>
        <v>นำจ่ายใหม่</v>
      </c>
      <c r="H39" s="1" t="str">
        <f ca="1">IFERROR(__xludf.DUMMYFUNCTION("""COMPUTED_VALUE"""),"จ่าหน้าไม่ชัดเจน เข้าผิดโซน")</f>
        <v>จ่าหน้าไม่ชัดเจน เข้าผิดโซน</v>
      </c>
      <c r="I39" s="1" t="str">
        <f ca="1">IFERROR(__xludf.DUMMYFUNCTION("""COMPUTED_VALUE"""),"แจ้งนำจ่ายใหม่ส่งต่อ DB ที่ถูกต้อง")</f>
        <v>แจ้งนำจ่ายใหม่ส่งต่อ DB ที่ถูกต้อง</v>
      </c>
      <c r="J39" s="1" t="str">
        <f ca="1">IFERROR(__xludf.DUMMYFUNCTION("""COMPUTED_VALUE"""),"DB1")</f>
        <v>DB1</v>
      </c>
      <c r="K39" s="1" t="str">
        <f ca="1">IFERROR(__xludf.DUMMYFUNCTION("""COMPUTED_VALUE"""),"ZNE10260EVD2003")</f>
        <v>ZNE10260EVD2003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15.75" customHeight="1" x14ac:dyDescent="0.2">
      <c r="A40" s="7">
        <f ca="1">IFERROR(__xludf.DUMMYFUNCTION("""COMPUTED_VALUE"""),45244.4752737847)</f>
        <v>45244.475273784701</v>
      </c>
      <c r="B40" s="1" t="str">
        <f ca="1">IFERROR(__xludf.DUMMYFUNCTION("""COMPUTED_VALUE"""),"CEC")</f>
        <v>CEC</v>
      </c>
      <c r="C40" s="1" t="str">
        <f ca="1">IFERROR(__xludf.DUMMYFUNCTION("""COMPUTED_VALUE"""),"EJ580083464TH")</f>
        <v>EJ580083464TH</v>
      </c>
      <c r="D40" s="1" t="str">
        <f ca="1">IFERROR(__xludf.DUMMYFUNCTION("""COMPUTED_VALUE"""),"NAS")</f>
        <v>NAS</v>
      </c>
      <c r="E40" s="1" t="str">
        <f ca="1">IFERROR(__xludf.DUMMYFUNCTION("""COMPUTED_VALUE"""),"086-3839305")</f>
        <v>086-3839305</v>
      </c>
      <c r="F40" s="1" t="str">
        <f ca="1">IFERROR(__xludf.DUMMYFUNCTION("""COMPUTED_VALUE"""),"5 ลาซาล 45")</f>
        <v>5 ลาซาล 45</v>
      </c>
      <c r="G40" s="1" t="str">
        <f ca="1">IFERROR(__xludf.DUMMYFUNCTION("""COMPUTED_VALUE"""),"นำจ่ายใหม่")</f>
        <v>นำจ่ายใหม่</v>
      </c>
      <c r="H40" s="1" t="str">
        <f ca="1">IFERROR(__xludf.DUMMYFUNCTION("""COMPUTED_VALUE"""),"จ่าหน้าไม่ชัดเจน 9/11/66")</f>
        <v>จ่าหน้าไม่ชัดเจน 9/11/66</v>
      </c>
      <c r="I40" s="1"/>
      <c r="J40" s="1" t="str">
        <f ca="1">IFERROR(__xludf.DUMMYFUNCTION("""COMPUTED_VALUE"""),"DB1")</f>
        <v>DB1</v>
      </c>
      <c r="K40" s="1" t="str">
        <f ca="1">IFERROR(__xludf.DUMMYFUNCTION("""COMPUTED_VALUE"""),"EMS10260EVD1012")</f>
        <v>EMS10260EVD1012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15.75" customHeight="1" x14ac:dyDescent="0.2">
      <c r="A41" s="7">
        <f ca="1">IFERROR(__xludf.DUMMYFUNCTION("""COMPUTED_VALUE"""),45244.4808044328)</f>
        <v>45244.480804432802</v>
      </c>
      <c r="B41" s="1" t="str">
        <f ca="1">IFERROR(__xludf.DUMMYFUNCTION("""COMPUTED_VALUE"""),"CEC")</f>
        <v>CEC</v>
      </c>
      <c r="C41" s="1" t="str">
        <f ca="1">IFERROR(__xludf.DUMMYFUNCTION("""COMPUTED_VALUE"""),"EY950677292TH")</f>
        <v>EY950677292TH</v>
      </c>
      <c r="D41" s="1" t="str">
        <f ca="1">IFERROR(__xludf.DUMMYFUNCTION("""COMPUTED_VALUE"""),"ศรีสุรางค์")</f>
        <v>ศรีสุรางค์</v>
      </c>
      <c r="E41" s="1" t="str">
        <f ca="1">IFERROR(__xludf.DUMMYFUNCTION("""COMPUTED_VALUE"""),"080-7761061")</f>
        <v>080-7761061</v>
      </c>
      <c r="F41" s="1" t="str">
        <f ca="1">IFERROR(__xludf.DUMMYFUNCTION("""COMPUTED_VALUE"""),"62 บ.แอร์โรพลัส บางนาตราด 25")</f>
        <v>62 บ.แอร์โรพลัส บางนาตราด 25</v>
      </c>
      <c r="G41" s="1" t="str">
        <f ca="1">IFERROR(__xludf.DUMMYFUNCTION("""COMPUTED_VALUE"""),"นำจ่ายใหม่")</f>
        <v>นำจ่ายใหม่</v>
      </c>
      <c r="H41" s="1" t="str">
        <f ca="1">IFERROR(__xludf.DUMMYFUNCTION("""COMPUTED_VALUE"""),"สถานะ : (C) ส่วนราชการ / บริษัท หยุด")</f>
        <v>สถานะ : (C) ส่วนราชการ / บริษัท หยุด</v>
      </c>
      <c r="I41" s="1"/>
      <c r="J41" s="1" t="str">
        <f ca="1">IFERROR(__xludf.DUMMYFUNCTION("""COMPUTED_VALUE"""),"DB2")</f>
        <v>DB2</v>
      </c>
      <c r="K41" s="1" t="str">
        <f ca="1">IFERROR(__xludf.DUMMYFUNCTION("""COMPUTED_VALUE"""),"EMS10260EVD2010")</f>
        <v>EMS10260EVD2010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15.75" customHeight="1" x14ac:dyDescent="0.2">
      <c r="A42" s="7">
        <f ca="1">IFERROR(__xludf.DUMMYFUNCTION("""COMPUTED_VALUE"""),45244.48227)</f>
        <v>45244.48227</v>
      </c>
      <c r="B42" s="1" t="str">
        <f ca="1">IFERROR(__xludf.DUMMYFUNCTION("""COMPUTED_VALUE"""),"On Queue")</f>
        <v>On Queue</v>
      </c>
      <c r="C42" s="1" t="str">
        <f ca="1">IFERROR(__xludf.DUMMYFUNCTION("""COMPUTED_VALUE"""),"ED928598141TH")</f>
        <v>ED928598141TH</v>
      </c>
      <c r="D42" s="1" t="str">
        <f ca="1">IFERROR(__xludf.DUMMYFUNCTION("""COMPUTED_VALUE"""),"พรรณี")</f>
        <v>พรรณี</v>
      </c>
      <c r="E42" s="1" t="str">
        <f ca="1">IFERROR(__xludf.DUMMYFUNCTION("""COMPUTED_VALUE"""),"092-2715354")</f>
        <v>092-2715354</v>
      </c>
      <c r="F42" s="1" t="str">
        <f ca="1">IFERROR(__xludf.DUMMYFUNCTION("""COMPUTED_VALUE"""),"1558/52 บ้านกลางกรุง")</f>
        <v>1558/52 บ้านกลางกรุง</v>
      </c>
      <c r="G42" s="1" t="str">
        <f ca="1">IFERROR(__xludf.DUMMYFUNCTION("""COMPUTED_VALUE"""),"นำจ่ายใหม่")</f>
        <v>นำจ่ายใหม่</v>
      </c>
      <c r="H42" s="1" t="str">
        <f ca="1">IFERROR(__xludf.DUMMYFUNCTION("""COMPUTED_VALUE"""),"สถานะ : (I) โทรศัพท์ติดต่อผู้รับไม่ได้/ผู้รับไม่รับสาย")</f>
        <v>สถานะ : (I) โทรศัพท์ติดต่อผู้รับไม่ได้/ผู้รับไม่รับสาย</v>
      </c>
      <c r="I42" s="1"/>
      <c r="J42" s="1" t="str">
        <f ca="1">IFERROR(__xludf.DUMMYFUNCTION("""COMPUTED_VALUE"""),"DB1")</f>
        <v>DB1</v>
      </c>
      <c r="K42" s="1" t="str">
        <f ca="1">IFERROR(__xludf.DUMMYFUNCTION("""COMPUTED_VALUE"""),"EMS10260EVD1031")</f>
        <v>EMS10260EVD1031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15.75" customHeight="1" x14ac:dyDescent="0.2">
      <c r="A43" s="7">
        <f ca="1">IFERROR(__xludf.DUMMYFUNCTION("""COMPUTED_VALUE"""),45244.4985251388)</f>
        <v>45244.498525138799</v>
      </c>
      <c r="B43" s="1" t="str">
        <f ca="1">IFERROR(__xludf.DUMMYFUNCTION("""COMPUTED_VALUE"""),"CEC")</f>
        <v>CEC</v>
      </c>
      <c r="C43" s="1" t="str">
        <f ca="1">IFERROR(__xludf.DUMMYFUNCTION("""COMPUTED_VALUE"""),"eb510529374th")</f>
        <v>eb510529374th</v>
      </c>
      <c r="D43" s="1" t="str">
        <f ca="1">IFERROR(__xludf.DUMMYFUNCTION("""COMPUTED_VALUE"""),"หทัยรัตน์")</f>
        <v>หทัยรัตน์</v>
      </c>
      <c r="E43" s="1" t="str">
        <f ca="1">IFERROR(__xludf.DUMMYFUNCTION("""COMPUTED_VALUE"""),"0979645662")</f>
        <v>0979645662</v>
      </c>
      <c r="F43" s="1" t="str">
        <f ca="1">IFERROR(__xludf.DUMMYFUNCTION("""COMPUTED_VALUE"""),"1011 บ.อินเด็กซ์")</f>
        <v>1011 บ.อินเด็กซ์</v>
      </c>
      <c r="G43" s="1" t="str">
        <f ca="1">IFERROR(__xludf.DUMMYFUNCTION("""COMPUTED_VALUE"""),"ตรวจสอบการนำจ่าย")</f>
        <v>ตรวจสอบการนำจ่าย</v>
      </c>
      <c r="H43" s="1" t="str">
        <f ca="1">IFERROR(__xludf.DUMMYFUNCTION("""COMPUTED_VALUE"""),"ตรวจสอบสิ่งของ")</f>
        <v>ตรวจสอบสิ่งของ</v>
      </c>
      <c r="I43" s="1" t="str">
        <f ca="1">IFERROR(__xludf.DUMMYFUNCTION("""COMPUTED_VALUE"""),"ตรวจสอบให้ผู้้รับแล้ว")</f>
        <v>ตรวจสอบให้ผู้้รับแล้ว</v>
      </c>
      <c r="J43" s="1" t="str">
        <f ca="1">IFERROR(__xludf.DUMMYFUNCTION("""COMPUTED_VALUE"""),"DB2")</f>
        <v>DB2</v>
      </c>
      <c r="K43" s="1" t="str">
        <f ca="1">IFERROR(__xludf.DUMMYFUNCTION("""COMPUTED_VALUE"""),"EMS10260EVD2010")</f>
        <v>EMS10260EVD2010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15.75" customHeight="1" x14ac:dyDescent="0.2">
      <c r="A44" s="7">
        <f ca="1">IFERROR(__xludf.DUMMYFUNCTION("""COMPUTED_VALUE"""),45244.5009876736)</f>
        <v>45244.5009876736</v>
      </c>
      <c r="B44" s="1" t="str">
        <f ca="1">IFERROR(__xludf.DUMMYFUNCTION("""COMPUTED_VALUE"""),"CEC")</f>
        <v>CEC</v>
      </c>
      <c r="C44" s="1" t="str">
        <f ca="1">IFERROR(__xludf.DUMMYFUNCTION("""COMPUTED_VALUE"""),"ek125298013th")</f>
        <v>ek125298013th</v>
      </c>
      <c r="D44" s="1" t="str">
        <f ca="1">IFERROR(__xludf.DUMMYFUNCTION("""COMPUTED_VALUE"""),"ศศิธร")</f>
        <v>ศศิธร</v>
      </c>
      <c r="E44" s="1" t="str">
        <f ca="1">IFERROR(__xludf.DUMMYFUNCTION("""COMPUTED_VALUE"""),"0819873967")</f>
        <v>0819873967</v>
      </c>
      <c r="F44" s="1" t="str">
        <f ca="1">IFERROR(__xludf.DUMMYFUNCTION("""COMPUTED_VALUE"""),"95/5  สุขุมวิทย์ 54")</f>
        <v>95/5  สุขุมวิทย์ 54</v>
      </c>
      <c r="G44" s="1" t="str">
        <f ca="1">IFERROR(__xludf.DUMMYFUNCTION("""COMPUTED_VALUE"""),"ตรวจสอบการนำจ่าย")</f>
        <v>ตรวจสอบการนำจ่าย</v>
      </c>
      <c r="H44" s="1" t="str">
        <f ca="1">IFERROR(__xludf.DUMMYFUNCTION("""COMPUTED_VALUE"""),"ผู้รับไม่ได้รับของ")</f>
        <v>ผู้รับไม่ได้รับของ</v>
      </c>
      <c r="I44" s="1" t="str">
        <f ca="1">IFERROR(__xludf.DUMMYFUNCTION("""COMPUTED_VALUE"""),"แจ้ง ซนจ และเจ้าหน้าที่นำจ่ายแล้ว")</f>
        <v>แจ้ง ซนจ และเจ้าหน้าที่นำจ่ายแล้ว</v>
      </c>
      <c r="J44" s="1" t="str">
        <f ca="1">IFERROR(__xludf.DUMMYFUNCTION("""COMPUTED_VALUE"""),"นำจ่ายรถยนต์")</f>
        <v>นำจ่ายรถยนต์</v>
      </c>
      <c r="K44" s="1" t="str">
        <f ca="1">IFERROR(__xludf.DUMMYFUNCTION("""COMPUTED_VALUE"""),"CAR10260EVD5003")</f>
        <v>CAR10260EVD5003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15.75" customHeight="1" x14ac:dyDescent="0.2">
      <c r="A45" s="7">
        <f ca="1">IFERROR(__xludf.DUMMYFUNCTION("""COMPUTED_VALUE"""),45244.5025398842)</f>
        <v>45244.502539884197</v>
      </c>
      <c r="B45" s="1" t="str">
        <f ca="1">IFERROR(__xludf.DUMMYFUNCTION("""COMPUTED_VALUE"""),"CEC")</f>
        <v>CEC</v>
      </c>
      <c r="C45" s="1" t="str">
        <f ca="1">IFERROR(__xludf.DUMMYFUNCTION("""COMPUTED_VALUE"""),"eb510702608th")</f>
        <v>eb510702608th</v>
      </c>
      <c r="D45" s="1" t="str">
        <f ca="1">IFERROR(__xludf.DUMMYFUNCTION("""COMPUTED_VALUE"""),"สุดารัตน์ ")</f>
        <v xml:space="preserve">สุดารัตน์ </v>
      </c>
      <c r="E45" s="1" t="str">
        <f ca="1">IFERROR(__xludf.DUMMYFUNCTION("""COMPUTED_VALUE"""),"0891079592")</f>
        <v>0891079592</v>
      </c>
      <c r="F45" s="1" t="str">
        <f ca="1">IFERROR(__xludf.DUMMYFUNCTION("""COMPUTED_VALUE"""),"129 อุดมสุข 25")</f>
        <v>129 อุดมสุข 25</v>
      </c>
      <c r="G45" s="1" t="str">
        <f ca="1">IFERROR(__xludf.DUMMYFUNCTION("""COMPUTED_VALUE"""),"นำจ่ายใหม่")</f>
        <v>นำจ่ายใหม่</v>
      </c>
      <c r="H45" s="1" t="str">
        <f ca="1">IFERROR(__xludf.DUMMYFUNCTION("""COMPUTED_VALUE"""),"บ้านปิด ")</f>
        <v xml:space="preserve">บ้านปิด </v>
      </c>
      <c r="I45" s="1" t="str">
        <f ca="1">IFERROR(__xludf.DUMMYFUNCTION("""COMPUTED_VALUE"""),"แจ้งซนจ และเจ้าหน้าที่นำจ่ายแล้ว")</f>
        <v>แจ้งซนจ และเจ้าหน้าที่นำจ่ายแล้ว</v>
      </c>
      <c r="J45" s="1" t="str">
        <f ca="1">IFERROR(__xludf.DUMMYFUNCTION("""COMPUTED_VALUE"""),"DB2")</f>
        <v>DB2</v>
      </c>
      <c r="K45" s="1" t="str">
        <f ca="1">IFERROR(__xludf.DUMMYFUNCTION("""COMPUTED_VALUE"""),"EMS10260EVD2023")</f>
        <v>EMS10260EVD2023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15.75" customHeight="1" x14ac:dyDescent="0.2">
      <c r="A46" s="7">
        <f ca="1">IFERROR(__xludf.DUMMYFUNCTION("""COMPUTED_VALUE"""),45244.563932118)</f>
        <v>45244.563932117999</v>
      </c>
      <c r="B46" s="1" t="str">
        <f ca="1">IFERROR(__xludf.DUMMYFUNCTION("""COMPUTED_VALUE"""),"CEC")</f>
        <v>CEC</v>
      </c>
      <c r="C46" s="1" t="str">
        <f ca="1">IFERROR(__xludf.DUMMYFUNCTION("""COMPUTED_VALUE"""),"ed979519616th")</f>
        <v>ed979519616th</v>
      </c>
      <c r="D46" s="1" t="str">
        <f ca="1">IFERROR(__xludf.DUMMYFUNCTION("""COMPUTED_VALUE"""),"คุณภัสชา")</f>
        <v>คุณภัสชา</v>
      </c>
      <c r="E46" s="1" t="str">
        <f ca="1">IFERROR(__xludf.DUMMYFUNCTION("""COMPUTED_VALUE"""),"0855651551")</f>
        <v>0855651551</v>
      </c>
      <c r="F46" s="1" t="str">
        <f ca="1">IFERROR(__xludf.DUMMYFUNCTION("""COMPUTED_VALUE"""),"106/72   ลาซาล11")</f>
        <v>106/72   ลาซาล11</v>
      </c>
      <c r="G46" s="1" t="str">
        <f ca="1">IFERROR(__xludf.DUMMYFUNCTION("""COMPUTED_VALUE"""),"ตรวจสอบการนำจ่าย")</f>
        <v>ตรวจสอบการนำจ่าย</v>
      </c>
      <c r="H46" s="1" t="str">
        <f ca="1">IFERROR(__xludf.DUMMYFUNCTION("""COMPUTED_VALUE"""),"ผู้รับติดต่อขอรับเอง")</f>
        <v>ผู้รับติดต่อขอรับเอง</v>
      </c>
      <c r="I46" s="1" t="str">
        <f ca="1">IFERROR(__xludf.DUMMYFUNCTION("""COMPUTED_VALUE"""),"แจ้งเจ้าหน้าที่ที่เกี่ยวข้องแล้ว")</f>
        <v>แจ้งเจ้าหน้าที่ที่เกี่ยวข้องแล้ว</v>
      </c>
      <c r="J46" s="1" t="str">
        <f ca="1">IFERROR(__xludf.DUMMYFUNCTION("""COMPUTED_VALUE"""),"DB1")</f>
        <v>DB1</v>
      </c>
      <c r="K46" s="1" t="str">
        <f ca="1">IFERROR(__xludf.DUMMYFUNCTION("""COMPUTED_VALUE"""),"ZNE10260EVD1005")</f>
        <v>ZNE10260EVD1005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15.75" customHeight="1" x14ac:dyDescent="0.2">
      <c r="A47" s="7">
        <f ca="1">IFERROR(__xludf.DUMMYFUNCTION("""COMPUTED_VALUE"""),45244.5663654398)</f>
        <v>45244.566365439801</v>
      </c>
      <c r="B47" s="1" t="str">
        <f ca="1">IFERROR(__xludf.DUMMYFUNCTION("""COMPUTED_VALUE"""),"CEC")</f>
        <v>CEC</v>
      </c>
      <c r="C47" s="1" t="str">
        <f ca="1">IFERROR(__xludf.DUMMYFUNCTION("""COMPUTED_VALUE"""),"ed816182016th")</f>
        <v>ed816182016th</v>
      </c>
      <c r="D47" s="1" t="str">
        <f ca="1">IFERROR(__xludf.DUMMYFUNCTION("""COMPUTED_VALUE"""),"สุนีย์")</f>
        <v>สุนีย์</v>
      </c>
      <c r="E47" s="1" t="str">
        <f ca="1">IFERROR(__xludf.DUMMYFUNCTION("""COMPUTED_VALUE"""),"0892051027")</f>
        <v>0892051027</v>
      </c>
      <c r="F47" s="1" t="str">
        <f ca="1">IFERROR(__xludf.DUMMYFUNCTION("""COMPUTED_VALUE"""),"76พึ่งมี9แยก2")</f>
        <v>76พึ่งมี9แยก2</v>
      </c>
      <c r="G47" s="1" t="str">
        <f ca="1">IFERROR(__xludf.DUMMYFUNCTION("""COMPUTED_VALUE"""),"ตรวจสอบการนำจ่าย")</f>
        <v>ตรวจสอบการนำจ่าย</v>
      </c>
      <c r="H47" s="1" t="str">
        <f ca="1">IFERROR(__xludf.DUMMYFUNCTION("""COMPUTED_VALUE"""),"ผู้รับจะติดต่อขอรับเอง")</f>
        <v>ผู้รับจะติดต่อขอรับเอง</v>
      </c>
      <c r="I47" s="1" t="str">
        <f ca="1">IFERROR(__xludf.DUMMYFUNCTION("""COMPUTED_VALUE"""),"แจ้งเจ้าหน้าที่ที่เกี่ยวข้องแล้ว")</f>
        <v>แจ้งเจ้าหน้าที่ที่เกี่ยวข้องแล้ว</v>
      </c>
      <c r="J47" s="1" t="str">
        <f ca="1">IFERROR(__xludf.DUMMYFUNCTION("""COMPUTED_VALUE"""),"นำจ่ายรถยนต์")</f>
        <v>นำจ่ายรถยนต์</v>
      </c>
      <c r="K47" s="1" t="str">
        <f ca="1">IFERROR(__xludf.DUMMYFUNCTION("""COMPUTED_VALUE"""),"CAR10260EVD5014")</f>
        <v>CAR10260EVD5014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15.75" customHeight="1" x14ac:dyDescent="0.2">
      <c r="A48" s="7">
        <f ca="1">IFERROR(__xludf.DUMMYFUNCTION("""COMPUTED_VALUE"""),45244.6379217129)</f>
        <v>45244.6379217129</v>
      </c>
      <c r="B48" s="1" t="str">
        <f ca="1">IFERROR(__xludf.DUMMYFUNCTION("""COMPUTED_VALUE"""),"CEC")</f>
        <v>CEC</v>
      </c>
      <c r="C48" s="1" t="str">
        <f ca="1">IFERROR(__xludf.DUMMYFUNCTION("""COMPUTED_VALUE"""),"ed960724615th")</f>
        <v>ed960724615th</v>
      </c>
      <c r="D48" s="1" t="str">
        <f ca="1">IFERROR(__xludf.DUMMYFUNCTION("""COMPUTED_VALUE"""),"อรอนงค์")</f>
        <v>อรอนงค์</v>
      </c>
      <c r="E48" s="1" t="str">
        <f ca="1">IFERROR(__xludf.DUMMYFUNCTION("""COMPUTED_VALUE"""),"0933595628")</f>
        <v>0933595628</v>
      </c>
      <c r="F48" s="1" t="str">
        <f ca="1">IFERROR(__xludf.DUMMYFUNCTION("""COMPUTED_VALUE"""),"376  อุดมสุข 26")</f>
        <v>376  อุดมสุข 26</v>
      </c>
      <c r="G48" s="1" t="str">
        <f ca="1">IFERROR(__xludf.DUMMYFUNCTION("""COMPUTED_VALUE"""),"นำจ่ายใหม่")</f>
        <v>นำจ่ายใหม่</v>
      </c>
      <c r="H48" s="1" t="str">
        <f ca="1">IFERROR(__xludf.DUMMYFUNCTION("""COMPUTED_VALUE"""),"ในจ่ายใหม่")</f>
        <v>ในจ่ายใหม่</v>
      </c>
      <c r="I48" s="1" t="str">
        <f ca="1">IFERROR(__xludf.DUMMYFUNCTION("""COMPUTED_VALUE"""),"แจ้งเจ้าที่นำจ่ายแล้ว")</f>
        <v>แจ้งเจ้าที่นำจ่ายแล้ว</v>
      </c>
      <c r="J48" s="1" t="str">
        <f ca="1">IFERROR(__xludf.DUMMYFUNCTION("""COMPUTED_VALUE"""),"นำจ่ายรถยนต์")</f>
        <v>นำจ่ายรถยนต์</v>
      </c>
      <c r="K48" s="1" t="str">
        <f ca="1">IFERROR(__xludf.DUMMYFUNCTION("""COMPUTED_VALUE"""),"CAR10260EVD5010")</f>
        <v>CAR10260EVD5010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15.75" customHeight="1" x14ac:dyDescent="0.2">
      <c r="A49" s="7">
        <f ca="1">IFERROR(__xludf.DUMMYFUNCTION("""COMPUTED_VALUE"""),45245.4616869444)</f>
        <v>45245.4616869444</v>
      </c>
      <c r="B49" s="1" t="str">
        <f ca="1">IFERROR(__xludf.DUMMYFUNCTION("""COMPUTED_VALUE"""),"CEC")</f>
        <v>CEC</v>
      </c>
      <c r="C49" s="1" t="str">
        <f ca="1">IFERROR(__xludf.DUMMYFUNCTION("""COMPUTED_VALUE"""),"ed916337798th")</f>
        <v>ed916337798th</v>
      </c>
      <c r="D49" s="1" t="str">
        <f ca="1">IFERROR(__xludf.DUMMYFUNCTION("""COMPUTED_VALUE"""),"สานนท์")</f>
        <v>สานนท์</v>
      </c>
      <c r="E49" s="1" t="str">
        <f ca="1">IFERROR(__xludf.DUMMYFUNCTION("""COMPUTED_VALUE"""),"0654891821")</f>
        <v>0654891821</v>
      </c>
      <c r="F49" s="1" t="str">
        <f ca="1">IFERROR(__xludf.DUMMYFUNCTION("""COMPUTED_VALUE"""),"557 ลาซาล 24 ทองอยู่ใต้")</f>
        <v>557 ลาซาล 24 ทองอยู่ใต้</v>
      </c>
      <c r="G49" s="1" t="str">
        <f ca="1">IFERROR(__xludf.DUMMYFUNCTION("""COMPUTED_VALUE"""),"นำจ่ายใหม่")</f>
        <v>นำจ่ายใหม่</v>
      </c>
      <c r="H49" s="1" t="str">
        <f ca="1">IFERROR(__xludf.DUMMYFUNCTION("""COMPUTED_VALUE"""),"จ่าหน้าไม่ชัดเจน")</f>
        <v>จ่าหน้าไม่ชัดเจน</v>
      </c>
      <c r="I49" s="1" t="str">
        <f ca="1">IFERROR(__xludf.DUMMYFUNCTION("""COMPUTED_VALUE"""),"แจ้าเจ้าหน้าที่ ผู้เก้วข้อง")</f>
        <v>แจ้าเจ้าหน้าที่ ผู้เก้วข้อง</v>
      </c>
      <c r="J49" s="1" t="str">
        <f ca="1">IFERROR(__xludf.DUMMYFUNCTION("""COMPUTED_VALUE"""),"นำจ่ายรถยนต์")</f>
        <v>นำจ่ายรถยนต์</v>
      </c>
      <c r="K49" s="1" t="str">
        <f ca="1">IFERROR(__xludf.DUMMYFUNCTION("""COMPUTED_VALUE"""),"CAR10260EVD5007")</f>
        <v>CAR10260EVD5007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15.75" customHeight="1" x14ac:dyDescent="0.2">
      <c r="A50" s="7">
        <f ca="1">IFERROR(__xludf.DUMMYFUNCTION("""COMPUTED_VALUE"""),45245.4637865856)</f>
        <v>45245.463786585598</v>
      </c>
      <c r="B50" s="1" t="str">
        <f ca="1">IFERROR(__xludf.DUMMYFUNCTION("""COMPUTED_VALUE"""),"CEC")</f>
        <v>CEC</v>
      </c>
      <c r="C50" s="1" t="str">
        <f ca="1">IFERROR(__xludf.DUMMYFUNCTION("""COMPUTED_VALUE"""),"ed925131465th")</f>
        <v>ed925131465th</v>
      </c>
      <c r="D50" s="1" t="str">
        <f ca="1">IFERROR(__xludf.DUMMYFUNCTION("""COMPUTED_VALUE"""),"วิไล")</f>
        <v>วิไล</v>
      </c>
      <c r="E50" s="1" t="str">
        <f ca="1">IFERROR(__xludf.DUMMYFUNCTION("""COMPUTED_VALUE"""),"0982562539")</f>
        <v>0982562539</v>
      </c>
      <c r="F50" s="1" t="str">
        <f ca="1">IFERROR(__xludf.DUMMYFUNCTION("""COMPUTED_VALUE"""),"80ม1   แฟตไพรัตน์")</f>
        <v>80ม1   แฟตไพรัตน์</v>
      </c>
      <c r="G50" s="1" t="str">
        <f ca="1">IFERROR(__xludf.DUMMYFUNCTION("""COMPUTED_VALUE"""),"นำจ่ายใหม่")</f>
        <v>นำจ่ายใหม่</v>
      </c>
      <c r="H50" s="1" t="str">
        <f ca="1">IFERROR(__xludf.DUMMYFUNCTION("""COMPUTED_VALUE"""),"เป็นยาบ้านปิดออกใบแจ้งใว้")</f>
        <v>เป็นยาบ้านปิดออกใบแจ้งใว้</v>
      </c>
      <c r="I50" s="1" t="str">
        <f ca="1">IFERROR(__xludf.DUMMYFUNCTION("""COMPUTED_VALUE"""),"แจ้งเจ้าหน้านำจ่ายแล้ว")</f>
        <v>แจ้งเจ้าหน้านำจ่ายแล้ว</v>
      </c>
      <c r="J50" s="1" t="str">
        <f ca="1">IFERROR(__xludf.DUMMYFUNCTION("""COMPUTED_VALUE"""),"DB4")</f>
        <v>DB4</v>
      </c>
      <c r="K50" s="1" t="str">
        <f ca="1">IFERROR(__xludf.DUMMYFUNCTION("""COMPUTED_VALUE"""),"EMS10260EVD3021")</f>
        <v>EMS10260EVD3021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15.75" customHeight="1" x14ac:dyDescent="0.2">
      <c r="A51" s="7">
        <f ca="1">IFERROR(__xludf.DUMMYFUNCTION("""COMPUTED_VALUE"""),45245.4657113425)</f>
        <v>45245.465711342498</v>
      </c>
      <c r="B51" s="1" t="str">
        <f ca="1">IFERROR(__xludf.DUMMYFUNCTION("""COMPUTED_VALUE"""),"CEC")</f>
        <v>CEC</v>
      </c>
      <c r="C51" s="1" t="str">
        <f ca="1">IFERROR(__xludf.DUMMYFUNCTION("""COMPUTED_VALUE"""),"eb719772460th")</f>
        <v>eb719772460th</v>
      </c>
      <c r="D51" s="1" t="str">
        <f ca="1">IFERROR(__xludf.DUMMYFUNCTION("""COMPUTED_VALUE"""),"คุณนรพัทธ์")</f>
        <v>คุณนรพัทธ์</v>
      </c>
      <c r="E51" s="1" t="str">
        <f ca="1">IFERROR(__xludf.DUMMYFUNCTION("""COMPUTED_VALUE"""),"0835464150")</f>
        <v>0835464150</v>
      </c>
      <c r="F51" s="1" t="str">
        <f ca="1">IFERROR(__xludf.DUMMYFUNCTION("""COMPUTED_VALUE"""),"556  ถ.สรรพาวุธ")</f>
        <v>556  ถ.สรรพาวุธ</v>
      </c>
      <c r="G51" s="1" t="str">
        <f ca="1">IFERROR(__xludf.DUMMYFUNCTION("""COMPUTED_VALUE"""),"ตรวจสอบการนำจ่าย")</f>
        <v>ตรวจสอบการนำจ่าย</v>
      </c>
      <c r="H51" s="1" t="str">
        <f ca="1">IFERROR(__xludf.DUMMYFUNCTION("""COMPUTED_VALUE"""),"ผู้รับไม่ได้รับสิ่งของแต่มีการนำจ่ายแล้ว")</f>
        <v>ผู้รับไม่ได้รับสิ่งของแต่มีการนำจ่ายแล้ว</v>
      </c>
      <c r="I51" s="1" t="str">
        <f ca="1">IFERROR(__xludf.DUMMYFUNCTION("""COMPUTED_VALUE"""),"แจ้งเจ้าหน้าที่นำจ่ายและผู้เกี่ยวข้องแล้ว")</f>
        <v>แจ้งเจ้าหน้าที่นำจ่ายและผู้เกี่ยวข้องแล้ว</v>
      </c>
      <c r="J51" s="1" t="str">
        <f ca="1">IFERROR(__xludf.DUMMYFUNCTION("""COMPUTED_VALUE"""),"DB2")</f>
        <v>DB2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15.75" customHeight="1" x14ac:dyDescent="0.2">
      <c r="A52" s="7">
        <f ca="1">IFERROR(__xludf.DUMMYFUNCTION("""COMPUTED_VALUE"""),45245.4998074652)</f>
        <v>45245.499807465203</v>
      </c>
      <c r="B52" s="1" t="str">
        <f ca="1">IFERROR(__xludf.DUMMYFUNCTION("""COMPUTED_VALUE"""),"CEC")</f>
        <v>CEC</v>
      </c>
      <c r="C52" s="1" t="str">
        <f ca="1">IFERROR(__xludf.DUMMYFUNCTION("""COMPUTED_VALUE"""),"eh109150274th")</f>
        <v>eh109150274th</v>
      </c>
      <c r="D52" s="1" t="str">
        <f ca="1">IFERROR(__xludf.DUMMYFUNCTION("""COMPUTED_VALUE"""),"สมเกียรติ")</f>
        <v>สมเกียรติ</v>
      </c>
      <c r="E52" s="1" t="str">
        <f ca="1">IFERROR(__xludf.DUMMYFUNCTION("""COMPUTED_VALUE"""),"0955514039")</f>
        <v>0955514039</v>
      </c>
      <c r="F52" s="1" t="str">
        <f ca="1">IFERROR(__xludf.DUMMYFUNCTION("""COMPUTED_VALUE"""),"3.  อดมสุข30 แยก7-5")</f>
        <v>3.  อดมสุข30 แยก7-5</v>
      </c>
      <c r="G52" s="1" t="str">
        <f ca="1">IFERROR(__xludf.DUMMYFUNCTION("""COMPUTED_VALUE"""),"นำจ่ายใหม่")</f>
        <v>นำจ่ายใหม่</v>
      </c>
      <c r="H52" s="1" t="str">
        <f ca="1">IFERROR(__xludf.DUMMYFUNCTION("""COMPUTED_VALUE"""),"ให้เตรียมการนำจ่ายวันนิี้")</f>
        <v>ให้เตรียมการนำจ่ายวันนิี้</v>
      </c>
      <c r="I52" s="1" t="str">
        <f ca="1">IFERROR(__xludf.DUMMYFUNCTION("""COMPUTED_VALUE"""),"แจ้งเจ้าหน้าที่นำจ่ายและผู้เกี่ยวข้องแล้ว")</f>
        <v>แจ้งเจ้าหน้าที่นำจ่ายและผู้เกี่ยวข้องแล้ว</v>
      </c>
      <c r="J52" s="1" t="str">
        <f ca="1">IFERROR(__xludf.DUMMYFUNCTION("""COMPUTED_VALUE"""),"นำจ่ายรถยนต์")</f>
        <v>นำจ่ายรถยนต์</v>
      </c>
      <c r="K52" s="1" t="str">
        <f ca="1">IFERROR(__xludf.DUMMYFUNCTION("""COMPUTED_VALUE"""),"CAR10260EVD5010")</f>
        <v>CAR10260EVD5010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15.75" customHeight="1" x14ac:dyDescent="0.2">
      <c r="A53" s="7">
        <f ca="1">IFERROR(__xludf.DUMMYFUNCTION("""COMPUTED_VALUE"""),45246.4169572453)</f>
        <v>45246.416957245303</v>
      </c>
      <c r="B53" s="1" t="str">
        <f ca="1">IFERROR(__xludf.DUMMYFUNCTION("""COMPUTED_VALUE"""),"CEC")</f>
        <v>CEC</v>
      </c>
      <c r="C53" s="1" t="str">
        <f ca="1">IFERROR(__xludf.DUMMYFUNCTION("""COMPUTED_VALUE"""),"ec003606995th")</f>
        <v>ec003606995th</v>
      </c>
      <c r="D53" s="1" t="str">
        <f ca="1">IFERROR(__xludf.DUMMYFUNCTION("""COMPUTED_VALUE"""),"ซานิง")</f>
        <v>ซานิง</v>
      </c>
      <c r="E53" s="1" t="str">
        <f ca="1">IFERROR(__xludf.DUMMYFUNCTION("""COMPUTED_VALUE"""),"0992405319")</f>
        <v>0992405319</v>
      </c>
      <c r="F53" s="1" t="str">
        <f ca="1">IFERROR(__xludf.DUMMYFUNCTION("""COMPUTED_VALUE"""),"112/1650")</f>
        <v>112/1650</v>
      </c>
      <c r="G53" s="1" t="str">
        <f ca="1">IFERROR(__xludf.DUMMYFUNCTION("""COMPUTED_VALUE"""),"นำจ่ายใหม่")</f>
        <v>นำจ่ายใหม่</v>
      </c>
      <c r="H53" s="1" t="str">
        <f ca="1">IFERROR(__xludf.DUMMYFUNCTION("""COMPUTED_VALUE"""),"cod 580 z^hiy[-viy[gv'")</f>
        <v>cod 580 z^hiy[-viy[gv'</v>
      </c>
      <c r="I53" s="1" t="str">
        <f ca="1">IFERROR(__xludf.DUMMYFUNCTION("""COMPUTED_VALUE"""),"แจ้งเจ้าหน้าที่นำจ่าย และผู้เกี่ยวข้องแล้ว")</f>
        <v>แจ้งเจ้าหน้าที่นำจ่าย และผู้เกี่ยวข้องแล้ว</v>
      </c>
      <c r="J53" s="1" t="str">
        <f ca="1">IFERROR(__xludf.DUMMYFUNCTION("""COMPUTED_VALUE"""),"DB1")</f>
        <v>DB1</v>
      </c>
      <c r="K53" s="1" t="str">
        <f ca="1">IFERROR(__xludf.DUMMYFUNCTION("""COMPUTED_VALUE"""),"EMS10260EVD1030")</f>
        <v>EMS10260EVD1030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5.75" customHeight="1" x14ac:dyDescent="0.2">
      <c r="A54" s="7">
        <f ca="1">IFERROR(__xludf.DUMMYFUNCTION("""COMPUTED_VALUE"""),45246.418950405)</f>
        <v>45246.418950405001</v>
      </c>
      <c r="B54" s="1" t="str">
        <f ca="1">IFERROR(__xludf.DUMMYFUNCTION("""COMPUTED_VALUE"""),"CEC")</f>
        <v>CEC</v>
      </c>
      <c r="C54" s="1" t="str">
        <f ca="1">IFERROR(__xludf.DUMMYFUNCTION("""COMPUTED_VALUE"""),"eb516496643th")</f>
        <v>eb516496643th</v>
      </c>
      <c r="D54" s="1" t="str">
        <f ca="1">IFERROR(__xludf.DUMMYFUNCTION("""COMPUTED_VALUE"""),"ปณิศรา")</f>
        <v>ปณิศรา</v>
      </c>
      <c r="E54" s="1" t="str">
        <f ca="1">IFERROR(__xludf.DUMMYFUNCTION("""COMPUTED_VALUE"""),"0860020260")</f>
        <v>0860020260</v>
      </c>
      <c r="F54" s="1" t="str">
        <f ca="1">IFERROR(__xludf.DUMMYFUNCTION("""COMPUTED_VALUE"""),"3544 โชว์รูม mg")</f>
        <v>3544 โชว์รูม mg</v>
      </c>
      <c r="G54" s="1" t="str">
        <f ca="1">IFERROR(__xludf.DUMMYFUNCTION("""COMPUTED_VALUE"""),"ตรวจสอบการนำจ่าย")</f>
        <v>ตรวจสอบการนำจ่าย</v>
      </c>
      <c r="H54" s="1" t="str">
        <f ca="1">IFERROR(__xludf.DUMMYFUNCTION("""COMPUTED_VALUE"""),"ผู้รับไม่ได้รับจดหมาย")</f>
        <v>ผู้รับไม่ได้รับจดหมาย</v>
      </c>
      <c r="I54" s="1" t="str">
        <f ca="1">IFERROR(__xludf.DUMMYFUNCTION("""COMPUTED_VALUE"""),"แจ้งเจ้าหน้าที่นำจ่่ายและผู้เกี่ยวข้องแล้ว")</f>
        <v>แจ้งเจ้าหน้าที่นำจ่่ายและผู้เกี่ยวข้องแล้ว</v>
      </c>
      <c r="J54" s="1" t="str">
        <f ca="1">IFERROR(__xludf.DUMMYFUNCTION("""COMPUTED_VALUE"""),"DB1")</f>
        <v>DB1</v>
      </c>
      <c r="K54" s="1" t="str">
        <f ca="1">IFERROR(__xludf.DUMMYFUNCTION("""COMPUTED_VALUE"""),"EMS10260EVD1007")</f>
        <v>EMS10260EVD1007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15.75" customHeight="1" x14ac:dyDescent="0.2">
      <c r="A55" s="7">
        <f ca="1">IFERROR(__xludf.DUMMYFUNCTION("""COMPUTED_VALUE"""),45246.4202967939)</f>
        <v>45246.420296793898</v>
      </c>
      <c r="B55" s="1" t="str">
        <f ca="1">IFERROR(__xludf.DUMMYFUNCTION("""COMPUTED_VALUE"""),"CEC")</f>
        <v>CEC</v>
      </c>
      <c r="C55" s="1" t="str">
        <f ca="1">IFERROR(__xludf.DUMMYFUNCTION("""COMPUTED_VALUE"""),"eo328101479th")</f>
        <v>eo328101479th</v>
      </c>
      <c r="D55" s="1" t="str">
        <f ca="1">IFERROR(__xludf.DUMMYFUNCTION("""COMPUTED_VALUE"""),"อาริยา")</f>
        <v>อาริยา</v>
      </c>
      <c r="E55" s="1" t="str">
        <f ca="1">IFERROR(__xludf.DUMMYFUNCTION("""COMPUTED_VALUE"""),"0956473946")</f>
        <v>0956473946</v>
      </c>
      <c r="F55" s="1" t="str">
        <f ca="1">IFERROR(__xludf.DUMMYFUNCTION("""COMPUTED_VALUE"""),"18 อุดมสุข39")</f>
        <v>18 อุดมสุข39</v>
      </c>
      <c r="G55" s="1" t="str">
        <f ca="1">IFERROR(__xludf.DUMMYFUNCTION("""COMPUTED_VALUE"""),"ตรวจสอบการนำจ่าย")</f>
        <v>ตรวจสอบการนำจ่าย</v>
      </c>
      <c r="H55" s="1" t="str">
        <f ca="1">IFERROR(__xludf.DUMMYFUNCTION("""COMPUTED_VALUE"""),"ผู้รับไม่ได้รับสิ่งของ")</f>
        <v>ผู้รับไม่ได้รับสิ่งของ</v>
      </c>
      <c r="I55" s="1" t="str">
        <f ca="1">IFERROR(__xludf.DUMMYFUNCTION("""COMPUTED_VALUE"""),"แจ้งเจ้าหน้าที่นำจ่่ายและผู้เกี่ยวข้องแล้ว")</f>
        <v>แจ้งเจ้าหน้าที่นำจ่่ายและผู้เกี่ยวข้องแล้ว</v>
      </c>
      <c r="J55" s="1" t="str">
        <f ca="1">IFERROR(__xludf.DUMMYFUNCTION("""COMPUTED_VALUE"""),"DB3")</f>
        <v>DB3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15.75" customHeight="1" x14ac:dyDescent="0.2">
      <c r="A56" s="7">
        <f ca="1">IFERROR(__xludf.DUMMYFUNCTION("""COMPUTED_VALUE"""),45246.42225103)</f>
        <v>45246.422251030002</v>
      </c>
      <c r="B56" s="1" t="str">
        <f ca="1">IFERROR(__xludf.DUMMYFUNCTION("""COMPUTED_VALUE"""),"CEC")</f>
        <v>CEC</v>
      </c>
      <c r="C56" s="1" t="str">
        <f ca="1">IFERROR(__xludf.DUMMYFUNCTION("""COMPUTED_VALUE"""),"ej904721365th")</f>
        <v>ej904721365th</v>
      </c>
      <c r="D56" s="1" t="str">
        <f ca="1">IFERROR(__xludf.DUMMYFUNCTION("""COMPUTED_VALUE"""),"อภิญญา")</f>
        <v>อภิญญา</v>
      </c>
      <c r="E56" s="1" t="str">
        <f ca="1">IFERROR(__xludf.DUMMYFUNCTION("""COMPUTED_VALUE"""),"0628580072")</f>
        <v>0628580072</v>
      </c>
      <c r="F56" s="1" t="str">
        <f ca="1">IFERROR(__xludf.DUMMYFUNCTION("""COMPUTED_VALUE"""),"135 อุดมสุข 58")</f>
        <v>135 อุดมสุข 58</v>
      </c>
      <c r="G56" s="1" t="str">
        <f ca="1">IFERROR(__xludf.DUMMYFUNCTION("""COMPUTED_VALUE"""),"ตรวจสอบการนำจ่าย")</f>
        <v>ตรวจสอบการนำจ่าย</v>
      </c>
      <c r="H56" s="1" t="str">
        <f ca="1">IFERROR(__xludf.DUMMYFUNCTION("""COMPUTED_VALUE"""),"ผู้รับไม่ได้รับส่ิ่งของ")</f>
        <v>ผู้รับไม่ได้รับส่ิ่งของ</v>
      </c>
      <c r="I56" s="1" t="str">
        <f ca="1">IFERROR(__xludf.DUMMYFUNCTION("""COMPUTED_VALUE"""),"แจ้งเจ้าหน้าที่นำจ่่ายและผู้เกี่ยวข้องแล้ว")</f>
        <v>แจ้งเจ้าหน้าที่นำจ่่ายและผู้เกี่ยวข้องแล้ว</v>
      </c>
      <c r="J56" s="1" t="str">
        <f ca="1">IFERROR(__xludf.DUMMYFUNCTION("""COMPUTED_VALUE"""),"DB2")</f>
        <v>DB2</v>
      </c>
      <c r="K56" s="1" t="str">
        <f ca="1">IFERROR(__xludf.DUMMYFUNCTION("""COMPUTED_VALUE"""),"EMS10260EVD2013")</f>
        <v>EMS10260EVD2013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15.75" customHeight="1" x14ac:dyDescent="0.2">
      <c r="A57" s="7">
        <f ca="1">IFERROR(__xludf.DUMMYFUNCTION("""COMPUTED_VALUE"""),45246.459466956)</f>
        <v>45246.459466956003</v>
      </c>
      <c r="B57" s="1" t="str">
        <f ca="1">IFERROR(__xludf.DUMMYFUNCTION("""COMPUTED_VALUE"""),"CEC")</f>
        <v>CEC</v>
      </c>
      <c r="C57" s="1" t="str">
        <f ca="1">IFERROR(__xludf.DUMMYFUNCTION("""COMPUTED_VALUE"""),"ed947577555th")</f>
        <v>ed947577555th</v>
      </c>
      <c r="D57" s="1" t="str">
        <f ca="1">IFERROR(__xludf.DUMMYFUNCTION("""COMPUTED_VALUE"""),"ชัชวาล")</f>
        <v>ชัชวาล</v>
      </c>
      <c r="E57" s="1" t="str">
        <f ca="1">IFERROR(__xludf.DUMMYFUNCTION("""COMPUTED_VALUE"""),"0818123840")</f>
        <v>0818123840</v>
      </c>
      <c r="F57" s="1" t="str">
        <f ca="1">IFERROR(__xludf.DUMMYFUNCTION("""COMPUTED_VALUE"""),"2016/14-15")</f>
        <v>2016/14-15</v>
      </c>
      <c r="G57" s="1" t="str">
        <f ca="1">IFERROR(__xludf.DUMMYFUNCTION("""COMPUTED_VALUE"""),"ตรวจสอบการนำจ่าย")</f>
        <v>ตรวจสอบการนำจ่าย</v>
      </c>
      <c r="H57" s="1" t="str">
        <f ca="1">IFERROR(__xludf.DUMMYFUNCTION("""COMPUTED_VALUE"""),"ผู็รับจะติดต่อขอรับเอง")</f>
        <v>ผู็รับจะติดต่อขอรับเอง</v>
      </c>
      <c r="I57" s="1" t="str">
        <f ca="1">IFERROR(__xludf.DUMMYFUNCTION("""COMPUTED_VALUE"""),"แจ้งเจ้าหน้าที่นำจ่ายและผู้เกี่ยวข้องแล้ว")</f>
        <v>แจ้งเจ้าหน้าที่นำจ่ายและผู้เกี่ยวข้องแล้ว</v>
      </c>
      <c r="J57" s="1" t="str">
        <f ca="1">IFERROR(__xludf.DUMMYFUNCTION("""COMPUTED_VALUE"""),"DB4")</f>
        <v>DB4</v>
      </c>
      <c r="K57" s="1" t="str">
        <f ca="1">IFERROR(__xludf.DUMMYFUNCTION("""COMPUTED_VALUE"""),"EMS10260EVD4015")</f>
        <v>EMS10260EVD4015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15.75" customHeight="1" x14ac:dyDescent="0.2">
      <c r="A58" s="7">
        <f ca="1">IFERROR(__xludf.DUMMYFUNCTION("""COMPUTED_VALUE"""),45246.4606424884)</f>
        <v>45246.460642488397</v>
      </c>
      <c r="B58" s="1" t="str">
        <f ca="1">IFERROR(__xludf.DUMMYFUNCTION("""COMPUTED_VALUE"""),"CEC")</f>
        <v>CEC</v>
      </c>
      <c r="C58" s="1" t="str">
        <f ca="1">IFERROR(__xludf.DUMMYFUNCTION("""COMPUTED_VALUE"""),"ed687391096th")</f>
        <v>ed687391096th</v>
      </c>
      <c r="D58" s="1" t="str">
        <f ca="1">IFERROR(__xludf.DUMMYFUNCTION("""COMPUTED_VALUE"""),"ภานุเดช")</f>
        <v>ภานุเดช</v>
      </c>
      <c r="E58" s="1" t="str">
        <f ca="1">IFERROR(__xludf.DUMMYFUNCTION("""COMPUTED_VALUE"""),"0615342847")</f>
        <v>0615342847</v>
      </c>
      <c r="F58" s="1" t="str">
        <f ca="1">IFERROR(__xludf.DUMMYFUNCTION("""COMPUTED_VALUE"""),"1 บางนาตราด19")</f>
        <v>1 บางนาตราด19</v>
      </c>
      <c r="G58" s="1" t="str">
        <f ca="1">IFERROR(__xludf.DUMMYFUNCTION("""COMPUTED_VALUE"""),"ตรวจสอบการนำจ่าย")</f>
        <v>ตรวจสอบการนำจ่าย</v>
      </c>
      <c r="H58" s="1" t="str">
        <f ca="1">IFERROR(__xludf.DUMMYFUNCTION("""COMPUTED_VALUE"""),"ผู้รับจะติดต่อขอรับเอง")</f>
        <v>ผู้รับจะติดต่อขอรับเอง</v>
      </c>
      <c r="I58" s="1" t="str">
        <f ca="1">IFERROR(__xludf.DUMMYFUNCTION("""COMPUTED_VALUE"""),"แจ้งเจ้าหน้าที่นำจ่ายและผู้เกี่ยวข้องแล้ว")</f>
        <v>แจ้งเจ้าหน้าที่นำจ่ายและผู้เกี่ยวข้องแล้ว</v>
      </c>
      <c r="J58" s="1" t="str">
        <f ca="1">IFERROR(__xludf.DUMMYFUNCTION("""COMPUTED_VALUE"""),"DB2")</f>
        <v>DB2</v>
      </c>
      <c r="K58" s="1" t="str">
        <f ca="1">IFERROR(__xludf.DUMMYFUNCTION("""COMPUTED_VALUE"""),"EMS10260EVD2007")</f>
        <v>EMS10260EVD2007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5.75" customHeight="1" x14ac:dyDescent="0.2">
      <c r="A59" s="7">
        <f ca="1">IFERROR(__xludf.DUMMYFUNCTION("""COMPUTED_VALUE"""),45246.4753076736)</f>
        <v>45246.475307673601</v>
      </c>
      <c r="B59" s="1" t="str">
        <f ca="1">IFERROR(__xludf.DUMMYFUNCTION("""COMPUTED_VALUE"""),"CEC")</f>
        <v>CEC</v>
      </c>
      <c r="C59" s="1" t="str">
        <f ca="1">IFERROR(__xludf.DUMMYFUNCTION("""COMPUTED_VALUE"""),"em163478316th")</f>
        <v>em163478316th</v>
      </c>
      <c r="D59" s="1" t="str">
        <f ca="1">IFERROR(__xludf.DUMMYFUNCTION("""COMPUTED_VALUE"""),"สา")</f>
        <v>สา</v>
      </c>
      <c r="E59" s="1" t="str">
        <f ca="1">IFERROR(__xludf.DUMMYFUNCTION("""COMPUTED_VALUE"""),"092-4915379")</f>
        <v>092-4915379</v>
      </c>
      <c r="F59" s="1" t="str">
        <f ca="1">IFERROR(__xludf.DUMMYFUNCTION("""COMPUTED_VALUE"""),"คนงานก่อสร้าง กรมสรรพาวุธทหารเรือ")</f>
        <v>คนงานก่อสร้าง กรมสรรพาวุธทหารเรือ</v>
      </c>
      <c r="G59" s="1" t="str">
        <f ca="1">IFERROR(__xludf.DUMMYFUNCTION("""COMPUTED_VALUE"""),"ตรวจสอบการนำจ่าย")</f>
        <v>ตรวจสอบการนำจ่าย</v>
      </c>
      <c r="H59" s="1" t="str">
        <f ca="1">IFERROR(__xludf.DUMMYFUNCTION("""COMPUTED_VALUE"""),"-")</f>
        <v>-</v>
      </c>
      <c r="I59" s="1" t="str">
        <f ca="1">IFERROR(__xludf.DUMMYFUNCTION("""COMPUTED_VALUE"""),"-")</f>
        <v>-</v>
      </c>
      <c r="J59" s="1" t="str">
        <f ca="1">IFERROR(__xludf.DUMMYFUNCTION("""COMPUTED_VALUE"""),"DB1")</f>
        <v>DB1</v>
      </c>
      <c r="K59" s="1" t="str">
        <f ca="1">IFERROR(__xludf.DUMMYFUNCTION("""COMPUTED_VALUE"""),"EMS10260EVD1001")</f>
        <v>EMS10260EVD1001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15.75" customHeight="1" x14ac:dyDescent="0.2">
      <c r="A60" s="7">
        <f ca="1">IFERROR(__xludf.DUMMYFUNCTION("""COMPUTED_VALUE"""),45246.4794437384)</f>
        <v>45246.479443738397</v>
      </c>
      <c r="B60" s="1" t="str">
        <f ca="1">IFERROR(__xludf.DUMMYFUNCTION("""COMPUTED_VALUE"""),"CEC")</f>
        <v>CEC</v>
      </c>
      <c r="C60" s="1" t="str">
        <f ca="1">IFERROR(__xludf.DUMMYFUNCTION("""COMPUTED_VALUE"""),"ef196553893th")</f>
        <v>ef196553893th</v>
      </c>
      <c r="D60" s="1" t="str">
        <f ca="1">IFERROR(__xludf.DUMMYFUNCTION("""COMPUTED_VALUE"""),"พี่น้อย")</f>
        <v>พี่น้อย</v>
      </c>
      <c r="E60" s="1" t="str">
        <f ca="1">IFERROR(__xludf.DUMMYFUNCTION("""COMPUTED_VALUE"""),"085-0725346")</f>
        <v>085-0725346</v>
      </c>
      <c r="F60" s="1" t="str">
        <f ca="1">IFERROR(__xludf.DUMMYFUNCTION("""COMPUTED_VALUE"""),"72 ม.3 ซอย.แบริ่ง 3 สุขุมวิท 105")</f>
        <v>72 ม.3 ซอย.แบริ่ง 3 สุขุมวิท 105</v>
      </c>
      <c r="G60" s="1" t="str">
        <f ca="1">IFERROR(__xludf.DUMMYFUNCTION("""COMPUTED_VALUE"""),"นำจ่ายใหม่")</f>
        <v>นำจ่ายใหม่</v>
      </c>
      <c r="H60" s="1" t="str">
        <f ca="1">IFERROR(__xludf.DUMMYFUNCTION("""COMPUTED_VALUE"""),"COD.2090 บาท")</f>
        <v>COD.2090 บาท</v>
      </c>
      <c r="I60" s="1" t="str">
        <f ca="1">IFERROR(__xludf.DUMMYFUNCTION("""COMPUTED_VALUE"""),"-")</f>
        <v>-</v>
      </c>
      <c r="J60" s="1" t="str">
        <f ca="1">IFERROR(__xludf.DUMMYFUNCTION("""COMPUTED_VALUE"""),"DB1")</f>
        <v>DB1</v>
      </c>
      <c r="K60" s="1" t="str">
        <f ca="1">IFERROR(__xludf.DUMMYFUNCTION("""COMPUTED_VALUE"""),"EMS10260EVD1011")</f>
        <v>EMS10260EVD1011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15.75" customHeight="1" x14ac:dyDescent="0.2">
      <c r="A61" s="7">
        <f ca="1">IFERROR(__xludf.DUMMYFUNCTION("""COMPUTED_VALUE"""),45246.5041026041)</f>
        <v>45246.5041026041</v>
      </c>
      <c r="B61" s="1" t="str">
        <f ca="1">IFERROR(__xludf.DUMMYFUNCTION("""COMPUTED_VALUE"""),"CEC")</f>
        <v>CEC</v>
      </c>
      <c r="C61" s="1" t="str">
        <f ca="1">IFERROR(__xludf.DUMMYFUNCTION("""COMPUTED_VALUE"""),"re892238665th")</f>
        <v>re892238665th</v>
      </c>
      <c r="D61" s="1" t="str">
        <f ca="1">IFERROR(__xludf.DUMMYFUNCTION("""COMPUTED_VALUE"""),"วีรสกล")</f>
        <v>วีรสกล</v>
      </c>
      <c r="E61" s="1" t="str">
        <f ca="1">IFERROR(__xludf.DUMMYFUNCTION("""COMPUTED_VALUE"""),"0954590440")</f>
        <v>0954590440</v>
      </c>
      <c r="F61" s="1" t="str">
        <f ca="1">IFERROR(__xludf.DUMMYFUNCTION("""COMPUTED_VALUE"""),"119/48หมู่บ้านลีออง สุขุมวิทย์ 62")</f>
        <v>119/48หมู่บ้านลีออง สุขุมวิทย์ 62</v>
      </c>
      <c r="G61" s="1" t="str">
        <f ca="1">IFERROR(__xludf.DUMMYFUNCTION("""COMPUTED_VALUE"""),"ตรวจสอบการนำจ่าย")</f>
        <v>ตรวจสอบการนำจ่าย</v>
      </c>
      <c r="H61" s="1" t="str">
        <f ca="1">IFERROR(__xludf.DUMMYFUNCTION("""COMPUTED_VALUE"""),"ผู้รับไม่ได้รับสิ่งของ")</f>
        <v>ผู้รับไม่ได้รับสิ่งของ</v>
      </c>
      <c r="I61" s="1" t="str">
        <f ca="1">IFERROR(__xludf.DUMMYFUNCTION("""COMPUTED_VALUE"""),"แจ้งเจ้าหน้าที่นำจ่ายและผู้เกี่ยวข้องแล้ว")</f>
        <v>แจ้งเจ้าหน้าที่นำจ่ายและผู้เกี่ยวข้องแล้ว</v>
      </c>
      <c r="J61" s="1" t="str">
        <f ca="1">IFERROR(__xludf.DUMMYFUNCTION("""COMPUTED_VALUE"""),"DB3")</f>
        <v>DB3</v>
      </c>
      <c r="K61" s="1" t="str">
        <f ca="1">IFERROR(__xludf.DUMMYFUNCTION("""COMPUTED_VALUE"""),"GEN07263EVD0316")</f>
        <v>GEN07263EVD0316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15.75" customHeight="1" x14ac:dyDescent="0.2">
      <c r="A62" s="7">
        <f ca="1">IFERROR(__xludf.DUMMYFUNCTION("""COMPUTED_VALUE"""),45246.5062770833)</f>
        <v>45246.506277083303</v>
      </c>
      <c r="B62" s="1" t="str">
        <f ca="1">IFERROR(__xludf.DUMMYFUNCTION("""COMPUTED_VALUE"""),"CEC")</f>
        <v>CEC</v>
      </c>
      <c r="C62" s="1" t="str">
        <f ca="1">IFERROR(__xludf.DUMMYFUNCTION("""COMPUTED_VALUE"""),"em437153323th")</f>
        <v>em437153323th</v>
      </c>
      <c r="D62" s="1" t="str">
        <f ca="1">IFERROR(__xludf.DUMMYFUNCTION("""COMPUTED_VALUE"""),"ลลิดา")</f>
        <v>ลลิดา</v>
      </c>
      <c r="E62" s="1" t="str">
        <f ca="1">IFERROR(__xludf.DUMMYFUNCTION("""COMPUTED_VALUE"""),"0943489108")</f>
        <v>0943489108</v>
      </c>
      <c r="F62" s="1" t="str">
        <f ca="1">IFERROR(__xludf.DUMMYFUNCTION("""COMPUTED_VALUE"""),"1497/362  เอเพ้นคอนโดแฟต b")</f>
        <v>1497/362  เอเพ้นคอนโดแฟต b</v>
      </c>
      <c r="G62" s="1" t="str">
        <f ca="1">IFERROR(__xludf.DUMMYFUNCTION("""COMPUTED_VALUE"""),"นำจ่ายใหม่")</f>
        <v>นำจ่ายใหม่</v>
      </c>
      <c r="H62" s="1" t="str">
        <f ca="1">IFERROR(__xludf.DUMMYFUNCTION("""COMPUTED_VALUE"""),"บ้านปิด")</f>
        <v>บ้านปิด</v>
      </c>
      <c r="I62" s="1" t="str">
        <f ca="1">IFERROR(__xludf.DUMMYFUNCTION("""COMPUTED_VALUE"""),"แจ้งเจ้าหน้าที่นำจ่ายแล้ง")</f>
        <v>แจ้งเจ้าหน้าที่นำจ่ายแล้ง</v>
      </c>
      <c r="J62" s="1" t="str">
        <f ca="1">IFERROR(__xludf.DUMMYFUNCTION("""COMPUTED_VALUE"""),"นำจ่ายรถยนต์")</f>
        <v>นำจ่ายรถยนต์</v>
      </c>
      <c r="K62" s="1" t="str">
        <f ca="1">IFERROR(__xludf.DUMMYFUNCTION("""COMPUTED_VALUE"""),"CAR10260EVD5008")</f>
        <v>CAR10260EVD5008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15.75" customHeight="1" x14ac:dyDescent="0.2">
      <c r="A63" s="7">
        <f ca="1">IFERROR(__xludf.DUMMYFUNCTION("""COMPUTED_VALUE"""),45246.5192646527)</f>
        <v>45246.519264652699</v>
      </c>
      <c r="B63" s="1" t="str">
        <f ca="1">IFERROR(__xludf.DUMMYFUNCTION("""COMPUTED_VALUE"""),"CEC")</f>
        <v>CEC</v>
      </c>
      <c r="C63" s="1" t="str">
        <f ca="1">IFERROR(__xludf.DUMMYFUNCTION("""COMPUTED_VALUE"""),"em163478316th")</f>
        <v>em163478316th</v>
      </c>
      <c r="D63" s="1" t="str">
        <f ca="1">IFERROR(__xludf.DUMMYFUNCTION("""COMPUTED_VALUE"""),"สา")</f>
        <v>สา</v>
      </c>
      <c r="E63" s="1" t="str">
        <f ca="1">IFERROR(__xludf.DUMMYFUNCTION("""COMPUTED_VALUE"""),"092-4915379")</f>
        <v>092-4915379</v>
      </c>
      <c r="F63" s="1" t="str">
        <f ca="1">IFERROR(__xludf.DUMMYFUNCTION("""COMPUTED_VALUE"""),"คนงานก่อสร้างกรมสรรพาวุธ บางนา")</f>
        <v>คนงานก่อสร้างกรมสรรพาวุธ บางนา</v>
      </c>
      <c r="G63" s="1" t="str">
        <f ca="1">IFERROR(__xludf.DUMMYFUNCTION("""COMPUTED_VALUE"""),"นำจ่ายใหม่")</f>
        <v>นำจ่ายใหม่</v>
      </c>
      <c r="H63" s="1" t="str">
        <f ca="1">IFERROR(__xludf.DUMMYFUNCTION("""COMPUTED_VALUE"""),"-")</f>
        <v>-</v>
      </c>
      <c r="I63" s="1" t="str">
        <f ca="1">IFERROR(__xludf.DUMMYFUNCTION("""COMPUTED_VALUE"""),"-")</f>
        <v>-</v>
      </c>
      <c r="J63" s="1" t="str">
        <f ca="1">IFERROR(__xludf.DUMMYFUNCTION("""COMPUTED_VALUE"""),"DB1")</f>
        <v>DB1</v>
      </c>
      <c r="K63" s="1" t="str">
        <f ca="1">IFERROR(__xludf.DUMMYFUNCTION("""COMPUTED_VALUE"""),"EMS10260EVD1011")</f>
        <v>EMS10260EVD1011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15.75" customHeight="1" x14ac:dyDescent="0.2">
      <c r="A64" s="7">
        <f ca="1">IFERROR(__xludf.DUMMYFUNCTION("""COMPUTED_VALUE"""),45246.6050209606)</f>
        <v>45246.605020960596</v>
      </c>
      <c r="B64" s="1" t="str">
        <f ca="1">IFERROR(__xludf.DUMMYFUNCTION("""COMPUTED_VALUE"""),"CEC")</f>
        <v>CEC</v>
      </c>
      <c r="C64" s="1" t="str">
        <f ca="1">IFERROR(__xludf.DUMMYFUNCTION("""COMPUTED_VALUE"""),"em163478316th")</f>
        <v>em163478316th</v>
      </c>
      <c r="D64" s="1" t="str">
        <f ca="1">IFERROR(__xludf.DUMMYFUNCTION("""COMPUTED_VALUE"""),"สา")</f>
        <v>สา</v>
      </c>
      <c r="E64" s="1" t="str">
        <f ca="1">IFERROR(__xludf.DUMMYFUNCTION("""COMPUTED_VALUE"""),"092-4915379")</f>
        <v>092-4915379</v>
      </c>
      <c r="F64" s="1" t="str">
        <f ca="1">IFERROR(__xludf.DUMMYFUNCTION("""COMPUTED_VALUE"""),"คนงายก่อสร้าง กรมสรรพาวุธทหารเรือ บางนา")</f>
        <v>คนงายก่อสร้าง กรมสรรพาวุธทหารเรือ บางนา</v>
      </c>
      <c r="G64" s="1" t="str">
        <f ca="1">IFERROR(__xludf.DUMMYFUNCTION("""COMPUTED_VALUE"""),"ตรวจสอบการนำจ่าย")</f>
        <v>ตรวจสอบการนำจ่าย</v>
      </c>
      <c r="H64" s="1" t="str">
        <f ca="1">IFERROR(__xludf.DUMMYFUNCTION("""COMPUTED_VALUE"""),"-")</f>
        <v>-</v>
      </c>
      <c r="I64" s="1" t="str">
        <f ca="1">IFERROR(__xludf.DUMMYFUNCTION("""COMPUTED_VALUE"""),"-")</f>
        <v>-</v>
      </c>
      <c r="J64" s="1" t="str">
        <f ca="1">IFERROR(__xludf.DUMMYFUNCTION("""COMPUTED_VALUE"""),"DB1")</f>
        <v>DB1</v>
      </c>
      <c r="K64" s="1" t="str">
        <f ca="1">IFERROR(__xludf.DUMMYFUNCTION("""COMPUTED_VALUE"""),"EMS10260EVD1001")</f>
        <v>EMS10260EVD1001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15.75" customHeight="1" x14ac:dyDescent="0.2">
      <c r="A65" s="7">
        <f ca="1">IFERROR(__xludf.DUMMYFUNCTION("""COMPUTED_VALUE"""),45246.6053574189)</f>
        <v>45246.605357418899</v>
      </c>
      <c r="B65" s="1" t="str">
        <f ca="1">IFERROR(__xludf.DUMMYFUNCTION("""COMPUTED_VALUE"""),"CEC")</f>
        <v>CEC</v>
      </c>
      <c r="C65" s="1" t="str">
        <f ca="1">IFERROR(__xludf.DUMMYFUNCTION("""COMPUTED_VALUE"""),"eb982101586th")</f>
        <v>eb982101586th</v>
      </c>
      <c r="D65" s="1" t="str">
        <f ca="1">IFERROR(__xludf.DUMMYFUNCTION("""COMPUTED_VALUE"""),"ภูสิทธิรัชต์")</f>
        <v>ภูสิทธิรัชต์</v>
      </c>
      <c r="E65" s="1" t="str">
        <f ca="1">IFERROR(__xludf.DUMMYFUNCTION("""COMPUTED_VALUE"""),"0629166549")</f>
        <v>0629166549</v>
      </c>
      <c r="F65" s="1" t="str">
        <f ca="1">IFERROR(__xludf.DUMMYFUNCTION("""COMPUTED_VALUE"""),"26 ปุญวิธี11")</f>
        <v>26 ปุญวิธี11</v>
      </c>
      <c r="G65" s="1" t="str">
        <f ca="1">IFERROR(__xludf.DUMMYFUNCTION("""COMPUTED_VALUE"""),"ตรวจสอบการนำจ่าย")</f>
        <v>ตรวจสอบการนำจ่าย</v>
      </c>
      <c r="H65" s="1" t="str">
        <f ca="1">IFERROR(__xludf.DUMMYFUNCTION("""COMPUTED_VALUE"""),"ผู้รับไม่ได้สิ่งของ")</f>
        <v>ผู้รับไม่ได้สิ่งของ</v>
      </c>
      <c r="I65" s="1" t="str">
        <f ca="1">IFERROR(__xludf.DUMMYFUNCTION("""COMPUTED_VALUE"""),"แจ้งผู้เกี่ยวข้องแล้ว")</f>
        <v>แจ้งผู้เกี่ยวข้องแล้ว</v>
      </c>
      <c r="J65" s="1" t="str">
        <f ca="1">IFERROR(__xludf.DUMMYFUNCTION("""COMPUTED_VALUE"""),"DB1")</f>
        <v>DB1</v>
      </c>
      <c r="K65" s="1" t="str">
        <f ca="1">IFERROR(__xludf.DUMMYFUNCTION("""COMPUTED_VALUE"""),"EMS10260EVD1001")</f>
        <v>EMS10260EVD1001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15.75" customHeight="1" x14ac:dyDescent="0.2">
      <c r="A66" s="7">
        <f ca="1">IFERROR(__xludf.DUMMYFUNCTION("""COMPUTED_VALUE"""),45246.6093845486)</f>
        <v>45246.609384548603</v>
      </c>
      <c r="B66" s="1" t="str">
        <f ca="1">IFERROR(__xludf.DUMMYFUNCTION("""COMPUTED_VALUE"""),"CEC")</f>
        <v>CEC</v>
      </c>
      <c r="C66" s="1" t="str">
        <f ca="1">IFERROR(__xludf.DUMMYFUNCTION("""COMPUTED_VALUE"""),"ef196553893th")</f>
        <v>ef196553893th</v>
      </c>
      <c r="D66" s="1" t="str">
        <f ca="1">IFERROR(__xludf.DUMMYFUNCTION("""COMPUTED_VALUE"""),"พี่น้อย (COD.2090 )")</f>
        <v>พี่น้อย (COD.2090 )</v>
      </c>
      <c r="E66" s="1" t="str">
        <f ca="1">IFERROR(__xludf.DUMMYFUNCTION("""COMPUTED_VALUE"""),"085-0725346")</f>
        <v>085-0725346</v>
      </c>
      <c r="F66" s="1" t="str">
        <f ca="1">IFERROR(__xludf.DUMMYFUNCTION("""COMPUTED_VALUE"""),"72 ม.3 ซอย.แบริ่ง 3 สุขุมวิท105")</f>
        <v>72 ม.3 ซอย.แบริ่ง 3 สุขุมวิท105</v>
      </c>
      <c r="G66" s="1" t="str">
        <f ca="1">IFERROR(__xludf.DUMMYFUNCTION("""COMPUTED_VALUE"""),"นำจ่ายใหม่")</f>
        <v>นำจ่ายใหม่</v>
      </c>
      <c r="H66" s="1" t="str">
        <f ca="1">IFERROR(__xludf.DUMMYFUNCTION("""COMPUTED_VALUE"""),"-")</f>
        <v>-</v>
      </c>
      <c r="I66" s="1" t="str">
        <f ca="1">IFERROR(__xludf.DUMMYFUNCTION("""COMPUTED_VALUE"""),"-")</f>
        <v>-</v>
      </c>
      <c r="J66" s="1" t="str">
        <f ca="1">IFERROR(__xludf.DUMMYFUNCTION("""COMPUTED_VALUE"""),"DB1")</f>
        <v>DB1</v>
      </c>
      <c r="K66" s="1" t="str">
        <f ca="1">IFERROR(__xludf.DUMMYFUNCTION("""COMPUTED_VALUE"""),"EMS10260EVD1011")</f>
        <v>EMS10260EVD1011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15.75" customHeight="1" x14ac:dyDescent="0.2">
      <c r="A67" s="7">
        <f ca="1">IFERROR(__xludf.DUMMYFUNCTION("""COMPUTED_VALUE"""),45246.614879155)</f>
        <v>45246.614879155</v>
      </c>
      <c r="B67" s="1" t="str">
        <f ca="1">IFERROR(__xludf.DUMMYFUNCTION("""COMPUTED_VALUE"""),"CEC")</f>
        <v>CEC</v>
      </c>
      <c r="C67" s="1" t="str">
        <f ca="1">IFERROR(__xludf.DUMMYFUNCTION("""COMPUTED_VALUE"""),"eg175880045th")</f>
        <v>eg175880045th</v>
      </c>
      <c r="D67" s="1" t="str">
        <f ca="1">IFERROR(__xludf.DUMMYFUNCTION("""COMPUTED_VALUE"""),"-")</f>
        <v>-</v>
      </c>
      <c r="E67" s="1" t="str">
        <f ca="1">IFERROR(__xludf.DUMMYFUNCTION("""COMPUTED_VALUE"""),"098-2649939")</f>
        <v>098-2649939</v>
      </c>
      <c r="F67" s="1" t="str">
        <f ca="1">IFERROR(__xludf.DUMMYFUNCTION("""COMPUTED_VALUE"""),"address on time 876 ลาซาน สุขุมวิท105")</f>
        <v>address on time 876 ลาซาน สุขุมวิท105</v>
      </c>
      <c r="G67" s="1" t="str">
        <f ca="1">IFERROR(__xludf.DUMMYFUNCTION("""COMPUTED_VALUE"""),"ตรวจสอบการนำจ่าย")</f>
        <v>ตรวจสอบการนำจ่าย</v>
      </c>
      <c r="H67" s="1" t="str">
        <f ca="1">IFERROR(__xludf.DUMMYFUNCTION("""COMPUTED_VALUE"""),"-")</f>
        <v>-</v>
      </c>
      <c r="I67" s="1" t="str">
        <f ca="1">IFERROR(__xludf.DUMMYFUNCTION("""COMPUTED_VALUE"""),"-")</f>
        <v>-</v>
      </c>
      <c r="J67" s="1" t="str">
        <f ca="1">IFERROR(__xludf.DUMMYFUNCTION("""COMPUTED_VALUE"""),"นำจ่ายรถยนต์")</f>
        <v>นำจ่ายรถยนต์</v>
      </c>
      <c r="K67" s="1" t="str">
        <f ca="1">IFERROR(__xludf.DUMMYFUNCTION("""COMPUTED_VALUE"""),"CAR10260EVD5006")</f>
        <v>CAR10260EVD5006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15.75" customHeight="1" x14ac:dyDescent="0.2">
      <c r="A68" s="7">
        <f ca="1">IFERROR(__xludf.DUMMYFUNCTION("""COMPUTED_VALUE"""),45246.6281329513)</f>
        <v>45246.6281329513</v>
      </c>
      <c r="B68" s="1" t="str">
        <f ca="1">IFERROR(__xludf.DUMMYFUNCTION("""COMPUTED_VALUE"""),"CEC")</f>
        <v>CEC</v>
      </c>
      <c r="C68" s="1" t="str">
        <f ca="1">IFERROR(__xludf.DUMMYFUNCTION("""COMPUTED_VALUE"""),"ed974832535th")</f>
        <v>ed974832535th</v>
      </c>
      <c r="D68" s="1" t="str">
        <f ca="1">IFERROR(__xludf.DUMMYFUNCTION("""COMPUTED_VALUE"""),"ไสว (COD.559 บาท)")</f>
        <v>ไสว (COD.559 บาท)</v>
      </c>
      <c r="E68" s="1" t="str">
        <f ca="1">IFERROR(__xludf.DUMMYFUNCTION("""COMPUTED_VALUE"""),"094-6690856")</f>
        <v>094-6690856</v>
      </c>
      <c r="F68" s="1" t="str">
        <f ca="1">IFERROR(__xludf.DUMMYFUNCTION("""COMPUTED_VALUE"""),"2430 โปรเจ็กซ์ อาร์ ดี  ที เค ประเทศไทย ")</f>
        <v xml:space="preserve">2430 โปรเจ็กซ์ อาร์ ดี  ที เค ประเทศไทย </v>
      </c>
      <c r="G68" s="1" t="str">
        <f ca="1">IFERROR(__xludf.DUMMYFUNCTION("""COMPUTED_VALUE"""),"นำจ่ายใหม่")</f>
        <v>นำจ่ายใหม่</v>
      </c>
      <c r="H68" s="1" t="str">
        <f ca="1">IFERROR(__xludf.DUMMYFUNCTION("""COMPUTED_VALUE"""),"-")</f>
        <v>-</v>
      </c>
      <c r="I68" s="1" t="str">
        <f ca="1">IFERROR(__xludf.DUMMYFUNCTION("""COMPUTED_VALUE"""),"-")</f>
        <v>-</v>
      </c>
      <c r="J68" s="1" t="str">
        <f ca="1">IFERROR(__xludf.DUMMYFUNCTION("""COMPUTED_VALUE"""),"DB4")</f>
        <v>DB4</v>
      </c>
      <c r="K68" s="1" t="str">
        <f ca="1">IFERROR(__xludf.DUMMYFUNCTION("""COMPUTED_VALUE"""),"EMS10260EVD4004")</f>
        <v>EMS10260EVD4004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15.75" customHeight="1" x14ac:dyDescent="0.2">
      <c r="A69" s="7">
        <f ca="1">IFERROR(__xludf.DUMMYFUNCTION("""COMPUTED_VALUE"""),45246.635495162)</f>
        <v>45246.635495162001</v>
      </c>
      <c r="B69" s="1" t="str">
        <f ca="1">IFERROR(__xludf.DUMMYFUNCTION("""COMPUTED_VALUE"""),"CEC")</f>
        <v>CEC</v>
      </c>
      <c r="C69" s="1" t="str">
        <f ca="1">IFERROR(__xludf.DUMMYFUNCTION("""COMPUTED_VALUE"""),"ed928987570th")</f>
        <v>ed928987570th</v>
      </c>
      <c r="D69" s="1" t="str">
        <f ca="1">IFERROR(__xludf.DUMMYFUNCTION("""COMPUTED_VALUE"""),"การุณ")</f>
        <v>การุณ</v>
      </c>
      <c r="E69" s="1" t="str">
        <f ca="1">IFERROR(__xludf.DUMMYFUNCTION("""COMPUTED_VALUE"""),"094-5481604")</f>
        <v>094-5481604</v>
      </c>
      <c r="F69" s="1" t="str">
        <f ca="1">IFERROR(__xludf.DUMMYFUNCTION("""COMPUTED_VALUE"""),"80 บ.พรีม่าิ อาคารวารินทร์ ชั่น4 บางนา ตราด 30")</f>
        <v>80 บ.พรีม่าิ อาคารวารินทร์ ชั่น4 บางนา ตราด 30</v>
      </c>
      <c r="G69" s="1" t="str">
        <f ca="1">IFERROR(__xludf.DUMMYFUNCTION("""COMPUTED_VALUE"""),"ตรวจสอบการนำจ่าย")</f>
        <v>ตรวจสอบการนำจ่าย</v>
      </c>
      <c r="H69" s="1" t="str">
        <f ca="1">IFERROR(__xludf.DUMMYFUNCTION("""COMPUTED_VALUE"""),"-")</f>
        <v>-</v>
      </c>
      <c r="I69" s="1" t="str">
        <f ca="1">IFERROR(__xludf.DUMMYFUNCTION("""COMPUTED_VALUE"""),"-")</f>
        <v>-</v>
      </c>
      <c r="J69" s="1" t="str">
        <f ca="1">IFERROR(__xludf.DUMMYFUNCTION("""COMPUTED_VALUE"""),"DB1")</f>
        <v>DB1</v>
      </c>
      <c r="K69" s="1" t="str">
        <f ca="1">IFERROR(__xludf.DUMMYFUNCTION("""COMPUTED_VALUE"""),"EMS10260EVD1033")</f>
        <v>EMS10260EVD1033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15.75" customHeight="1" x14ac:dyDescent="0.2">
      <c r="A70" s="7">
        <f ca="1">IFERROR(__xludf.DUMMYFUNCTION("""COMPUTED_VALUE"""),45246.6369849189)</f>
        <v>45246.6369849189</v>
      </c>
      <c r="B70" s="1" t="str">
        <f ca="1">IFERROR(__xludf.DUMMYFUNCTION("""COMPUTED_VALUE"""),"On Queue")</f>
        <v>On Queue</v>
      </c>
      <c r="C70" s="1" t="str">
        <f ca="1">IFERROR(__xludf.DUMMYFUNCTION("""COMPUTED_VALUE"""),"ed988337381th")</f>
        <v>ed988337381th</v>
      </c>
      <c r="D70" s="1" t="str">
        <f ca="1">IFERROR(__xludf.DUMMYFUNCTION("""COMPUTED_VALUE"""),"สุรภี")</f>
        <v>สุรภี</v>
      </c>
      <c r="E70" s="1" t="str">
        <f ca="1">IFERROR(__xludf.DUMMYFUNCTION("""COMPUTED_VALUE"""),"-")</f>
        <v>-</v>
      </c>
      <c r="F70" s="1" t="str">
        <f ca="1">IFERROR(__xludf.DUMMYFUNCTION("""COMPUTED_VALUE"""),"รร.สอนภาษา ฯ ชั่น35 อ.เซ็นทรัลทาวเวอร์ซิ")</f>
        <v>รร.สอนภาษา ฯ ชั่น35 อ.เซ็นทรัลทาวเวอร์ซิ</v>
      </c>
      <c r="G70" s="1" t="str">
        <f ca="1">IFERROR(__xludf.DUMMYFUNCTION("""COMPUTED_VALUE"""),"ตรวจสอบการนำจ่าย")</f>
        <v>ตรวจสอบการนำจ่าย</v>
      </c>
      <c r="H70" s="1" t="str">
        <f ca="1">IFERROR(__xludf.DUMMYFUNCTION("""COMPUTED_VALUE"""),"-")</f>
        <v>-</v>
      </c>
      <c r="I70" s="1" t="str">
        <f ca="1">IFERROR(__xludf.DUMMYFUNCTION("""COMPUTED_VALUE"""),"-")</f>
        <v>-</v>
      </c>
      <c r="J70" s="1" t="str">
        <f ca="1">IFERROR(__xludf.DUMMYFUNCTION("""COMPUTED_VALUE"""),"นำจ่ายรถยนต์")</f>
        <v>นำจ่ายรถยนต์</v>
      </c>
      <c r="K70" s="1" t="str">
        <f ca="1">IFERROR(__xludf.DUMMYFUNCTION("""COMPUTED_VALUE"""),"CAR10260EVD5007")</f>
        <v>CAR10260EVD5007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15.75" customHeight="1" x14ac:dyDescent="0.2">
      <c r="A71" s="7">
        <f ca="1">IFERROR(__xludf.DUMMYFUNCTION("""COMPUTED_VALUE"""),45246.6393278935)</f>
        <v>45246.639327893499</v>
      </c>
      <c r="B71" s="1" t="str">
        <f ca="1">IFERROR(__xludf.DUMMYFUNCTION("""COMPUTED_VALUE"""),"On Queue")</f>
        <v>On Queue</v>
      </c>
      <c r="C71" s="1" t="str">
        <f ca="1">IFERROR(__xludf.DUMMYFUNCTION("""COMPUTED_VALUE"""),"ed961263535th")</f>
        <v>ed961263535th</v>
      </c>
      <c r="D71" s="1" t="str">
        <f ca="1">IFERROR(__xludf.DUMMYFUNCTION("""COMPUTED_VALUE"""),"รณธัช")</f>
        <v>รณธัช</v>
      </c>
      <c r="E71" s="1" t="str">
        <f ca="1">IFERROR(__xludf.DUMMYFUNCTION("""COMPUTED_VALUE"""),"081-6915546")</f>
        <v>081-6915546</v>
      </c>
      <c r="F71" s="1" t="str">
        <f ca="1">IFERROR(__xludf.DUMMYFUNCTION("""COMPUTED_VALUE"""),"57 บ.เฮเฟเล่ ซ.สุขุมวิท 64")</f>
        <v>57 บ.เฮเฟเล่ ซ.สุขุมวิท 64</v>
      </c>
      <c r="G71" s="1" t="str">
        <f ca="1">IFERROR(__xludf.DUMMYFUNCTION("""COMPUTED_VALUE"""),"ตรวจสอบการนำจ่าย")</f>
        <v>ตรวจสอบการนำจ่าย</v>
      </c>
      <c r="H71" s="1" t="str">
        <f ca="1">IFERROR(__xludf.DUMMYFUNCTION("""COMPUTED_VALUE"""),"-")</f>
        <v>-</v>
      </c>
      <c r="I71" s="1" t="str">
        <f ca="1">IFERROR(__xludf.DUMMYFUNCTION("""COMPUTED_VALUE"""),"-")</f>
        <v>-</v>
      </c>
      <c r="J71" s="1" t="str">
        <f ca="1">IFERROR(__xludf.DUMMYFUNCTION("""COMPUTED_VALUE"""),"DB4")</f>
        <v>DB4</v>
      </c>
      <c r="K71" s="1" t="str">
        <f ca="1">IFERROR(__xludf.DUMMYFUNCTION("""COMPUTED_VALUE"""),"EMS10260EVD4003")</f>
        <v>EMS10260EVD4003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15.75" customHeight="1" x14ac:dyDescent="0.2">
      <c r="A72" s="7">
        <f ca="1">IFERROR(__xludf.DUMMYFUNCTION("""COMPUTED_VALUE"""),45246.6439403819)</f>
        <v>45246.643940381902</v>
      </c>
      <c r="B72" s="1" t="str">
        <f ca="1">IFERROR(__xludf.DUMMYFUNCTION("""COMPUTED_VALUE"""),"On Queue")</f>
        <v>On Queue</v>
      </c>
      <c r="C72" s="1" t="str">
        <f ca="1">IFERROR(__xludf.DUMMYFUNCTION("""COMPUTED_VALUE"""),"ef197221504th")</f>
        <v>ef197221504th</v>
      </c>
      <c r="D72" s="1" t="str">
        <f ca="1">IFERROR(__xludf.DUMMYFUNCTION("""COMPUTED_VALUE"""),"ปริวัฒน์")</f>
        <v>ปริวัฒน์</v>
      </c>
      <c r="E72" s="1" t="str">
        <f ca="1">IFERROR(__xludf.DUMMYFUNCTION("""COMPUTED_VALUE"""),"082-5166456")</f>
        <v>082-5166456</v>
      </c>
      <c r="F72" s="1" t="str">
        <f ca="1">IFERROR(__xludf.DUMMYFUNCTION("""COMPUTED_VALUE"""),"1112/627 คอนโดดิเอ็กซ์เซล สุขุมวิท50")</f>
        <v>1112/627 คอนโดดิเอ็กซ์เซล สุขุมวิท50</v>
      </c>
      <c r="G72" s="1" t="str">
        <f ca="1">IFERROR(__xludf.DUMMYFUNCTION("""COMPUTED_VALUE"""),"ตรวจสอบการนำจ่าย")</f>
        <v>ตรวจสอบการนำจ่าย</v>
      </c>
      <c r="H72" s="1" t="str">
        <f ca="1">IFERROR(__xludf.DUMMYFUNCTION("""COMPUTED_VALUE"""),"-")</f>
        <v>-</v>
      </c>
      <c r="I72" s="1" t="str">
        <f ca="1">IFERROR(__xludf.DUMMYFUNCTION("""COMPUTED_VALUE"""),"-")</f>
        <v>-</v>
      </c>
      <c r="J72" s="1" t="str">
        <f ca="1">IFERROR(__xludf.DUMMYFUNCTION("""COMPUTED_VALUE"""),"นำจ่ายรถยนต์")</f>
        <v>นำจ่ายรถยนต์</v>
      </c>
      <c r="K72" s="1" t="str">
        <f ca="1">IFERROR(__xludf.DUMMYFUNCTION("""COMPUTED_VALUE"""),"CAR10260EVD5002")</f>
        <v>CAR10260EVD5002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15.75" customHeight="1" x14ac:dyDescent="0.2">
      <c r="A73" s="7">
        <f ca="1">IFERROR(__xludf.DUMMYFUNCTION("""COMPUTED_VALUE"""),45246.6466170023)</f>
        <v>45246.646617002298</v>
      </c>
      <c r="B73" s="1" t="str">
        <f ca="1">IFERROR(__xludf.DUMMYFUNCTION("""COMPUTED_VALUE"""),"On Queue")</f>
        <v>On Queue</v>
      </c>
      <c r="C73" s="1" t="str">
        <f ca="1">IFERROR(__xludf.DUMMYFUNCTION("""COMPUTED_VALUE"""),"eb940852256th")</f>
        <v>eb940852256th</v>
      </c>
      <c r="D73" s="1" t="str">
        <f ca="1">IFERROR(__xludf.DUMMYFUNCTION("""COMPUTED_VALUE"""),"กล็อฟ")</f>
        <v>กล็อฟ</v>
      </c>
      <c r="E73" s="1" t="str">
        <f ca="1">IFERROR(__xludf.DUMMYFUNCTION("""COMPUTED_VALUE"""),"096-3658932")</f>
        <v>096-3658932</v>
      </c>
      <c r="F73" s="1" t="str">
        <f ca="1">IFERROR(__xludf.DUMMYFUNCTION("""COMPUTED_VALUE"""),"29 ซอย.จ่าโสด 24 บางนา")</f>
        <v>29 ซอย.จ่าโสด 24 บางนา</v>
      </c>
      <c r="G73" s="1" t="str">
        <f ca="1">IFERROR(__xludf.DUMMYFUNCTION("""COMPUTED_VALUE"""),"ตรวจสอบการนำจ่าย")</f>
        <v>ตรวจสอบการนำจ่าย</v>
      </c>
      <c r="H73" s="1" t="str">
        <f ca="1">IFERROR(__xludf.DUMMYFUNCTION("""COMPUTED_VALUE"""),"-")</f>
        <v>-</v>
      </c>
      <c r="I73" s="1" t="str">
        <f ca="1">IFERROR(__xludf.DUMMYFUNCTION("""COMPUTED_VALUE"""),"-")</f>
        <v>-</v>
      </c>
      <c r="J73" s="1" t="str">
        <f ca="1">IFERROR(__xludf.DUMMYFUNCTION("""COMPUTED_VALUE"""),"DB1")</f>
        <v>DB1</v>
      </c>
      <c r="K73" s="1" t="str">
        <f ca="1">IFERROR(__xludf.DUMMYFUNCTION("""COMPUTED_VALUE"""),"EMS10260EVD1008")</f>
        <v>EMS10260EVD1008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15.75" customHeight="1" x14ac:dyDescent="0.2">
      <c r="A74" s="7">
        <f ca="1">IFERROR(__xludf.DUMMYFUNCTION("""COMPUTED_VALUE"""),45247.4161473379)</f>
        <v>45247.416147337899</v>
      </c>
      <c r="B74" s="1" t="str">
        <f ca="1">IFERROR(__xludf.DUMMYFUNCTION("""COMPUTED_VALUE"""),"CEC")</f>
        <v>CEC</v>
      </c>
      <c r="C74" s="1" t="str">
        <f ca="1">IFERROR(__xludf.DUMMYFUNCTION("""COMPUTED_VALUE"""),"ey197566173th")</f>
        <v>ey197566173th</v>
      </c>
      <c r="D74" s="1" t="str">
        <f ca="1">IFERROR(__xludf.DUMMYFUNCTION("""COMPUTED_VALUE"""),"ศุภิสรา (COD.8940 บาท)")</f>
        <v>ศุภิสรา (COD.8940 บาท)</v>
      </c>
      <c r="E74" s="1" t="str">
        <f ca="1">IFERROR(__xludf.DUMMYFUNCTION("""COMPUTED_VALUE"""),"084-7577471")</f>
        <v>084-7577471</v>
      </c>
      <c r="F74" s="1" t="str">
        <f ca="1">IFERROR(__xludf.DUMMYFUNCTION("""COMPUTED_VALUE"""),"บ.ที โอ ที 1/4 อ.บางนาธานี ชั่น2 บางนา ตราด34")</f>
        <v>บ.ที โอ ที 1/4 อ.บางนาธานี ชั่น2 บางนา ตราด34</v>
      </c>
      <c r="G74" s="1" t="str">
        <f ca="1">IFERROR(__xludf.DUMMYFUNCTION("""COMPUTED_VALUE"""),"ตรวจสอบการนำจ่าย")</f>
        <v>ตรวจสอบการนำจ่าย</v>
      </c>
      <c r="H74" s="1" t="str">
        <f ca="1">IFERROR(__xludf.DUMMYFUNCTION("""COMPUTED_VALUE"""),"ขอถอนคืน")</f>
        <v>ขอถอนคืน</v>
      </c>
      <c r="I74" s="1" t="str">
        <f ca="1">IFERROR(__xludf.DUMMYFUNCTION("""COMPUTED_VALUE"""),"-")</f>
        <v>-</v>
      </c>
      <c r="J74" s="1" t="str">
        <f ca="1">IFERROR(__xludf.DUMMYFUNCTION("""COMPUTED_VALUE"""),"DB1")</f>
        <v>DB1</v>
      </c>
      <c r="K74" s="1" t="str">
        <f ca="1">IFERROR(__xludf.DUMMYFUNCTION("""COMPUTED_VALUE"""),"EMS10260EVD1032")</f>
        <v>EMS10260EVD1032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15.75" customHeight="1" x14ac:dyDescent="0.2">
      <c r="A75" s="7">
        <f ca="1">IFERROR(__xludf.DUMMYFUNCTION("""COMPUTED_VALUE"""),45247.4185673726)</f>
        <v>45247.418567372602</v>
      </c>
      <c r="B75" s="1" t="str">
        <f ca="1">IFERROR(__xludf.DUMMYFUNCTION("""COMPUTED_VALUE"""),"CEC")</f>
        <v>CEC</v>
      </c>
      <c r="C75" s="1" t="str">
        <f ca="1">IFERROR(__xludf.DUMMYFUNCTION("""COMPUTED_VALUE"""),"ed927589656th")</f>
        <v>ed927589656th</v>
      </c>
      <c r="D75" s="1" t="str">
        <f ca="1">IFERROR(__xludf.DUMMYFUNCTION("""COMPUTED_VALUE"""),"ชนม์ธนิศา")</f>
        <v>ชนม์ธนิศา</v>
      </c>
      <c r="E75" s="1" t="str">
        <f ca="1">IFERROR(__xludf.DUMMYFUNCTION("""COMPUTED_VALUE"""),"095-5641561")</f>
        <v>095-5641561</v>
      </c>
      <c r="F75" s="1" t="str">
        <f ca="1">IFERROR(__xludf.DUMMYFUNCTION("""COMPUTED_VALUE"""),"8/160 คอนโดไรน์ ซ.วชิรธรรม 29/2 ซ.101/1")</f>
        <v>8/160 คอนโดไรน์ ซ.วชิรธรรม 29/2 ซ.101/1</v>
      </c>
      <c r="G75" s="1" t="str">
        <f ca="1">IFERROR(__xludf.DUMMYFUNCTION("""COMPUTED_VALUE"""),"ตรวจสอบการนำจ่าย")</f>
        <v>ตรวจสอบการนำจ่าย</v>
      </c>
      <c r="H75" s="1" t="str">
        <f ca="1">IFERROR(__xludf.DUMMYFUNCTION("""COMPUTED_VALUE"""),"-")</f>
        <v>-</v>
      </c>
      <c r="I75" s="1" t="str">
        <f ca="1">IFERROR(__xludf.DUMMYFUNCTION("""COMPUTED_VALUE"""),"-")</f>
        <v>-</v>
      </c>
      <c r="J75" s="1" t="str">
        <f ca="1">IFERROR(__xludf.DUMMYFUNCTION("""COMPUTED_VALUE"""),"DB3")</f>
        <v>DB3</v>
      </c>
      <c r="K75" s="1" t="str">
        <f ca="1">IFERROR(__xludf.DUMMYFUNCTION("""COMPUTED_VALUE"""),"EMS10260EVD3024")</f>
        <v>EMS10260EVD3024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15.75" customHeight="1" x14ac:dyDescent="0.2">
      <c r="A76" s="7">
        <f ca="1">IFERROR(__xludf.DUMMYFUNCTION("""COMPUTED_VALUE"""),45247.4203507986)</f>
        <v>45247.420350798602</v>
      </c>
      <c r="B76" s="1" t="str">
        <f ca="1">IFERROR(__xludf.DUMMYFUNCTION("""COMPUTED_VALUE"""),"CEC")</f>
        <v>CEC</v>
      </c>
      <c r="C76" s="1" t="str">
        <f ca="1">IFERROR(__xludf.DUMMYFUNCTION("""COMPUTED_VALUE"""),"ri871462657th")</f>
        <v>ri871462657th</v>
      </c>
      <c r="D76" s="1" t="str">
        <f ca="1">IFERROR(__xludf.DUMMYFUNCTION("""COMPUTED_VALUE"""),"อภิสิทธิ์")</f>
        <v>อภิสิทธิ์</v>
      </c>
      <c r="E76" s="1" t="str">
        <f ca="1">IFERROR(__xludf.DUMMYFUNCTION("""COMPUTED_VALUE"""),"088-3445690")</f>
        <v>088-3445690</v>
      </c>
      <c r="F76" s="1" t="str">
        <f ca="1">IFERROR(__xludf.DUMMYFUNCTION("""COMPUTED_VALUE"""),"34 หอพัก ซอย.จ่าโสด แยก4 สรรพาวุธ")</f>
        <v>34 หอพัก ซอย.จ่าโสด แยก4 สรรพาวุธ</v>
      </c>
      <c r="G76" s="1" t="str">
        <f ca="1">IFERROR(__xludf.DUMMYFUNCTION("""COMPUTED_VALUE"""),"นำจ่ายใหม่")</f>
        <v>นำจ่ายใหม่</v>
      </c>
      <c r="H76" s="1" t="str">
        <f ca="1">IFERROR(__xludf.DUMMYFUNCTION("""COMPUTED_VALUE"""),"-")</f>
        <v>-</v>
      </c>
      <c r="I76" s="1" t="str">
        <f ca="1">IFERROR(__xludf.DUMMYFUNCTION("""COMPUTED_VALUE"""),"-")</f>
        <v>-</v>
      </c>
      <c r="J76" s="1" t="str">
        <f ca="1">IFERROR(__xludf.DUMMYFUNCTION("""COMPUTED_VALUE"""),"DB1")</f>
        <v>DB1</v>
      </c>
      <c r="K76" s="1" t="str">
        <f ca="1">IFERROR(__xludf.DUMMYFUNCTION("""COMPUTED_VALUE"""),"EMS10260EVD1001")</f>
        <v>EMS10260EVD1001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15.75" customHeight="1" x14ac:dyDescent="0.2">
      <c r="A77" s="7">
        <f ca="1">IFERROR(__xludf.DUMMYFUNCTION("""COMPUTED_VALUE"""),45247.4224537268)</f>
        <v>45247.422453726802</v>
      </c>
      <c r="B77" s="1" t="str">
        <f ca="1">IFERROR(__xludf.DUMMYFUNCTION("""COMPUTED_VALUE"""),"CEC")</f>
        <v>CEC</v>
      </c>
      <c r="C77" s="1" t="str">
        <f ca="1">IFERROR(__xludf.DUMMYFUNCTION("""COMPUTED_VALUE"""),"eb505307454th")</f>
        <v>eb505307454th</v>
      </c>
      <c r="D77" s="1" t="str">
        <f ca="1">IFERROR(__xludf.DUMMYFUNCTION("""COMPUTED_VALUE"""),"ปฎิมาศ")</f>
        <v>ปฎิมาศ</v>
      </c>
      <c r="E77" s="1" t="str">
        <f ca="1">IFERROR(__xludf.DUMMYFUNCTION("""COMPUTED_VALUE"""),"088-8822227")</f>
        <v>088-8822227</v>
      </c>
      <c r="F77" s="1" t="str">
        <f ca="1">IFERROR(__xludf.DUMMYFUNCTION("""COMPUTED_VALUE"""),"223/92 อ.คันทรีทาวเวอร์ ชั่น11 ตึก เอ สรรพาวุธ")</f>
        <v>223/92 อ.คันทรีทาวเวอร์ ชั่น11 ตึก เอ สรรพาวุธ</v>
      </c>
      <c r="G77" s="1" t="str">
        <f ca="1">IFERROR(__xludf.DUMMYFUNCTION("""COMPUTED_VALUE"""),"ตรวจสอบการนำจ่าย")</f>
        <v>ตรวจสอบการนำจ่าย</v>
      </c>
      <c r="H77" s="1" t="str">
        <f ca="1">IFERROR(__xludf.DUMMYFUNCTION("""COMPUTED_VALUE"""),"-")</f>
        <v>-</v>
      </c>
      <c r="I77" s="1" t="str">
        <f ca="1">IFERROR(__xludf.DUMMYFUNCTION("""COMPUTED_VALUE"""),"-")</f>
        <v>-</v>
      </c>
      <c r="J77" s="1" t="str">
        <f ca="1">IFERROR(__xludf.DUMMYFUNCTION("""COMPUTED_VALUE"""),"นำจ่ายรถยนต์")</f>
        <v>นำจ่ายรถยนต์</v>
      </c>
      <c r="K77" s="1" t="str">
        <f ca="1">IFERROR(__xludf.DUMMYFUNCTION("""COMPUTED_VALUE"""),"CAR10260EVD5004")</f>
        <v>CAR10260EVD5004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15.75" customHeight="1" x14ac:dyDescent="0.2">
      <c r="A78" s="7">
        <f ca="1">IFERROR(__xludf.DUMMYFUNCTION("""COMPUTED_VALUE"""),45247.4322410879)</f>
        <v>45247.432241087903</v>
      </c>
      <c r="B78" s="1" t="str">
        <f ca="1">IFERROR(__xludf.DUMMYFUNCTION("""COMPUTED_VALUE"""),"On Queue")</f>
        <v>On Queue</v>
      </c>
      <c r="C78" s="1" t="str">
        <f ca="1">IFERROR(__xludf.DUMMYFUNCTION("""COMPUTED_VALUE"""),"ed881668664th")</f>
        <v>ed881668664th</v>
      </c>
      <c r="D78" s="1" t="str">
        <f ca="1">IFERROR(__xludf.DUMMYFUNCTION("""COMPUTED_VALUE"""),"นงนุช")</f>
        <v>นงนุช</v>
      </c>
      <c r="E78" s="1" t="str">
        <f ca="1">IFERROR(__xludf.DUMMYFUNCTION("""COMPUTED_VALUE"""),"081-6452837")</f>
        <v>081-6452837</v>
      </c>
      <c r="F78" s="1" t="str">
        <f ca="1">IFERROR(__xludf.DUMMYFUNCTION("""COMPUTED_VALUE"""),"19 ซอย.วชิรธรรมสาธิต 42 ซ.101/1")</f>
        <v>19 ซอย.วชิรธรรมสาธิต 42 ซ.101/1</v>
      </c>
      <c r="G78" s="1" t="str">
        <f ca="1">IFERROR(__xludf.DUMMYFUNCTION("""COMPUTED_VALUE"""),"ตรวจสอบการนำจ่าย")</f>
        <v>ตรวจสอบการนำจ่าย</v>
      </c>
      <c r="H78" s="1" t="str">
        <f ca="1">IFERROR(__xludf.DUMMYFUNCTION("""COMPUTED_VALUE"""),"-")</f>
        <v>-</v>
      </c>
      <c r="I78" s="1" t="str">
        <f ca="1">IFERROR(__xludf.DUMMYFUNCTION("""COMPUTED_VALUE"""),"-")</f>
        <v>-</v>
      </c>
      <c r="J78" s="1" t="str">
        <f ca="1">IFERROR(__xludf.DUMMYFUNCTION("""COMPUTED_VALUE"""),"DB3")</f>
        <v>DB3</v>
      </c>
      <c r="K78" s="1" t="str">
        <f ca="1">IFERROR(__xludf.DUMMYFUNCTION("""COMPUTED_VALUE"""),"EMS10260EVD3036")</f>
        <v>EMS10260EVD3036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15.75" customHeight="1" x14ac:dyDescent="0.2">
      <c r="A79" s="7">
        <f ca="1">IFERROR(__xludf.DUMMYFUNCTION("""COMPUTED_VALUE"""),45247.4932835763)</f>
        <v>45247.493283576303</v>
      </c>
      <c r="B79" s="1" t="str">
        <f ca="1">IFERROR(__xludf.DUMMYFUNCTION("""COMPUTED_VALUE"""),"CEC")</f>
        <v>CEC</v>
      </c>
      <c r="C79" s="1" t="str">
        <f ca="1">IFERROR(__xludf.DUMMYFUNCTION("""COMPUTED_VALUE"""),"ey950651247th")</f>
        <v>ey950651247th</v>
      </c>
      <c r="D79" s="1" t="str">
        <f ca="1">IFERROR(__xludf.DUMMYFUNCTION("""COMPUTED_VALUE"""),"ปุณยาพร")</f>
        <v>ปุณยาพร</v>
      </c>
      <c r="E79" s="1" t="str">
        <f ca="1">IFERROR(__xludf.DUMMYFUNCTION("""COMPUTED_VALUE"""),"086-3923898")</f>
        <v>086-3923898</v>
      </c>
      <c r="F79" s="1" t="str">
        <f ca="1">IFERROR(__xludf.DUMMYFUNCTION("""COMPUTED_VALUE"""),"195/1262 คอนโดไอดิโอโอทู สรรพาวุธ บางนา")</f>
        <v>195/1262 คอนโดไอดิโอโอทู สรรพาวุธ บางนา</v>
      </c>
      <c r="G79" s="1" t="str">
        <f ca="1">IFERROR(__xludf.DUMMYFUNCTION("""COMPUTED_VALUE"""),"ตรวจสอบการนำจ่าย")</f>
        <v>ตรวจสอบการนำจ่าย</v>
      </c>
      <c r="H79" s="1" t="str">
        <f ca="1">IFERROR(__xludf.DUMMYFUNCTION("""COMPUTED_VALUE"""),"-")</f>
        <v>-</v>
      </c>
      <c r="I79" s="1" t="str">
        <f ca="1">IFERROR(__xludf.DUMMYFUNCTION("""COMPUTED_VALUE"""),"-")</f>
        <v>-</v>
      </c>
      <c r="J79" s="1" t="str">
        <f ca="1">IFERROR(__xludf.DUMMYFUNCTION("""COMPUTED_VALUE"""),"นำจ่ายรถยนต์")</f>
        <v>นำจ่ายรถยนต์</v>
      </c>
      <c r="K79" s="1" t="str">
        <f ca="1">IFERROR(__xludf.DUMMYFUNCTION("""COMPUTED_VALUE"""),"CAR10260EVD5004")</f>
        <v>CAR10260EVD5004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15.75" customHeight="1" x14ac:dyDescent="0.2">
      <c r="A80" s="7">
        <f ca="1">IFERROR(__xludf.DUMMYFUNCTION("""COMPUTED_VALUE"""),45247.4952270949)</f>
        <v>45247.4952270949</v>
      </c>
      <c r="B80" s="1" t="str">
        <f ca="1">IFERROR(__xludf.DUMMYFUNCTION("""COMPUTED_VALUE"""),"On Queue")</f>
        <v>On Queue</v>
      </c>
      <c r="C80" s="1" t="str">
        <f ca="1">IFERROR(__xludf.DUMMYFUNCTION("""COMPUTED_VALUE"""),"re784907365th")</f>
        <v>re784907365th</v>
      </c>
      <c r="D80" s="1" t="str">
        <f ca="1">IFERROR(__xludf.DUMMYFUNCTION("""COMPUTED_VALUE"""),"ยศวัฒน์")</f>
        <v>ยศวัฒน์</v>
      </c>
      <c r="E80" s="1" t="str">
        <f ca="1">IFERROR(__xludf.DUMMYFUNCTION("""COMPUTED_VALUE"""),"098-8782399")</f>
        <v>098-8782399</v>
      </c>
      <c r="F80" s="1" t="str">
        <f ca="1">IFERROR(__xludf.DUMMYFUNCTION("""COMPUTED_VALUE"""),"55 ซอย.อุดมสุข 51 สุขุมวิท103")</f>
        <v>55 ซอย.อุดมสุข 51 สุขุมวิท103</v>
      </c>
      <c r="G80" s="1" t="str">
        <f ca="1">IFERROR(__xludf.DUMMYFUNCTION("""COMPUTED_VALUE"""),"ตรวจสอบการนำจ่าย")</f>
        <v>ตรวจสอบการนำจ่าย</v>
      </c>
      <c r="H80" s="1" t="str">
        <f ca="1">IFERROR(__xludf.DUMMYFUNCTION("""COMPUTED_VALUE"""),"-")</f>
        <v>-</v>
      </c>
      <c r="I80" s="1" t="str">
        <f ca="1">IFERROR(__xludf.DUMMYFUNCTION("""COMPUTED_VALUE"""),"-")</f>
        <v>-</v>
      </c>
      <c r="J80" s="1" t="str">
        <f ca="1">IFERROR(__xludf.DUMMYFUNCTION("""COMPUTED_VALUE"""),"DB3")</f>
        <v>DB3</v>
      </c>
      <c r="K80" s="1" t="str">
        <f ca="1">IFERROR(__xludf.DUMMYFUNCTION("""COMPUTED_VALUE"""),"EMS10260EVD3037")</f>
        <v>EMS10260EVD3037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15.75" customHeight="1" x14ac:dyDescent="0.2">
      <c r="A81" s="7">
        <f ca="1">IFERROR(__xludf.DUMMYFUNCTION("""COMPUTED_VALUE"""),45247.5052185879)</f>
        <v>45247.505218587903</v>
      </c>
      <c r="B81" s="1" t="str">
        <f ca="1">IFERROR(__xludf.DUMMYFUNCTION("""COMPUTED_VALUE"""),"On Queue")</f>
        <v>On Queue</v>
      </c>
      <c r="C81" s="1" t="str">
        <f ca="1">IFERROR(__xludf.DUMMYFUNCTION("""COMPUTED_VALUE"""),"ed994406418th")</f>
        <v>ed994406418th</v>
      </c>
      <c r="D81" s="1" t="str">
        <f ca="1">IFERROR(__xludf.DUMMYFUNCTION("""COMPUTED_VALUE"""),"จงสวัสดิ์")</f>
        <v>จงสวัสดิ์</v>
      </c>
      <c r="E81" s="1" t="str">
        <f ca="1">IFERROR(__xludf.DUMMYFUNCTION("""COMPUTED_VALUE"""),"081-1894554")</f>
        <v>081-1894554</v>
      </c>
      <c r="F81" s="1" t="str">
        <f ca="1">IFERROR(__xludf.DUMMYFUNCTION("""COMPUTED_VALUE"""),"1558/15 คลีนิคออก้าเมดิก้า บ.กลางกรุง")</f>
        <v>1558/15 คลีนิคออก้าเมดิก้า บ.กลางกรุง</v>
      </c>
      <c r="G81" s="1" t="str">
        <f ca="1">IFERROR(__xludf.DUMMYFUNCTION("""COMPUTED_VALUE"""),"นำจ่ายใหม่")</f>
        <v>นำจ่ายใหม่</v>
      </c>
      <c r="H81" s="1" t="str">
        <f ca="1">IFERROR(__xludf.DUMMYFUNCTION("""COMPUTED_VALUE"""),"ออกใบแจ้ง")</f>
        <v>ออกใบแจ้ง</v>
      </c>
      <c r="I81" s="1" t="str">
        <f ca="1">IFERROR(__xludf.DUMMYFUNCTION("""COMPUTED_VALUE"""),"-")</f>
        <v>-</v>
      </c>
      <c r="J81" s="1" t="str">
        <f ca="1">IFERROR(__xludf.DUMMYFUNCTION("""COMPUTED_VALUE"""),"DB1")</f>
        <v>DB1</v>
      </c>
      <c r="K81" s="1" t="str">
        <f ca="1">IFERROR(__xludf.DUMMYFUNCTION("""COMPUTED_VALUE"""),"EMS10260EVD1031")</f>
        <v>EMS10260EVD1031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15.75" customHeight="1" x14ac:dyDescent="0.2">
      <c r="A82" s="7">
        <f ca="1">IFERROR(__xludf.DUMMYFUNCTION("""COMPUTED_VALUE"""),45247.5080862731)</f>
        <v>45247.508086273097</v>
      </c>
      <c r="B82" s="1" t="str">
        <f ca="1">IFERROR(__xludf.DUMMYFUNCTION("""COMPUTED_VALUE"""),"CEC")</f>
        <v>CEC</v>
      </c>
      <c r="C82" s="1" t="str">
        <f ca="1">IFERROR(__xludf.DUMMYFUNCTION("""COMPUTED_VALUE"""),"ri901255457th")</f>
        <v>ri901255457th</v>
      </c>
      <c r="D82" s="1" t="str">
        <f ca="1">IFERROR(__xludf.DUMMYFUNCTION("""COMPUTED_VALUE"""),"กิตติพจน์")</f>
        <v>กิตติพจน์</v>
      </c>
      <c r="E82" s="1" t="str">
        <f ca="1">IFERROR(__xludf.DUMMYFUNCTION("""COMPUTED_VALUE"""),"096-9268887")</f>
        <v>096-9268887</v>
      </c>
      <c r="F82" s="1" t="str">
        <f ca="1">IFERROR(__xludf.DUMMYFUNCTION("""COMPUTED_VALUE"""),"9/211 คอนโดวิสดอมอินสปาย สุขุมวิท")</f>
        <v>9/211 คอนโดวิสดอมอินสปาย สุขุมวิท</v>
      </c>
      <c r="G82" s="1" t="str">
        <f ca="1">IFERROR(__xludf.DUMMYFUNCTION("""COMPUTED_VALUE"""),"ตรวจสอบการนำจ่าย")</f>
        <v>ตรวจสอบการนำจ่าย</v>
      </c>
      <c r="H82" s="1" t="str">
        <f ca="1">IFERROR(__xludf.DUMMYFUNCTION("""COMPUTED_VALUE"""),"นำจ่ายเรียบร้อย")</f>
        <v>นำจ่ายเรียบร้อย</v>
      </c>
      <c r="I82" s="1" t="str">
        <f ca="1">IFERROR(__xludf.DUMMYFUNCTION("""COMPUTED_VALUE"""),"-")</f>
        <v>-</v>
      </c>
      <c r="J82" s="1" t="str">
        <f ca="1">IFERROR(__xludf.DUMMYFUNCTION("""COMPUTED_VALUE"""),"นำจ่ายรถยนต์")</f>
        <v>นำจ่ายรถยนต์</v>
      </c>
      <c r="K82" s="1" t="str">
        <f ca="1">IFERROR(__xludf.DUMMYFUNCTION("""COMPUTED_VALUE"""),"CAR10260EVD5011")</f>
        <v>CAR10260EVD5011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15.75" customHeight="1" x14ac:dyDescent="0.2">
      <c r="A83" s="7">
        <f ca="1">IFERROR(__xludf.DUMMYFUNCTION("""COMPUTED_VALUE"""),45247.5197725926)</f>
        <v>45247.519772592597</v>
      </c>
      <c r="B83" s="1" t="str">
        <f ca="1">IFERROR(__xludf.DUMMYFUNCTION("""COMPUTED_VALUE"""),"On Queue")</f>
        <v>On Queue</v>
      </c>
      <c r="C83" s="1" t="str">
        <f ca="1">IFERROR(__xludf.DUMMYFUNCTION("""COMPUTED_VALUE"""),"ed925934184th")</f>
        <v>ed925934184th</v>
      </c>
      <c r="D83" s="1" t="str">
        <f ca="1">IFERROR(__xludf.DUMMYFUNCTION("""COMPUTED_VALUE"""),"สุมาลี")</f>
        <v>สุมาลี</v>
      </c>
      <c r="E83" s="1" t="str">
        <f ca="1">IFERROR(__xludf.DUMMYFUNCTION("""COMPUTED_VALUE"""),"062-9429891")</f>
        <v>062-9429891</v>
      </c>
      <c r="F83" s="1" t="str">
        <f ca="1">IFERROR(__xludf.DUMMYFUNCTION("""COMPUTED_VALUE"""),"424/129 รีเจ้นส์โฮม 13 สุขุมวิท 93")</f>
        <v>424/129 รีเจ้นส์โฮม 13 สุขุมวิท 93</v>
      </c>
      <c r="G83" s="1" t="str">
        <f ca="1">IFERROR(__xludf.DUMMYFUNCTION("""COMPUTED_VALUE"""),"ตรวจสอบการนำจ่าย")</f>
        <v>ตรวจสอบการนำจ่าย</v>
      </c>
      <c r="H83" s="1" t="str">
        <f ca="1">IFERROR(__xludf.DUMMYFUNCTION("""COMPUTED_VALUE"""),"-")</f>
        <v>-</v>
      </c>
      <c r="I83" s="1" t="str">
        <f ca="1">IFERROR(__xludf.DUMMYFUNCTION("""COMPUTED_VALUE"""),"-")</f>
        <v>-</v>
      </c>
      <c r="J83" s="1" t="str">
        <f ca="1">IFERROR(__xludf.DUMMYFUNCTION("""COMPUTED_VALUE"""),"DB3")</f>
        <v>DB3</v>
      </c>
      <c r="K83" s="1" t="str">
        <f ca="1">IFERROR(__xludf.DUMMYFUNCTION("""COMPUTED_VALUE"""),"EMS10260EVD3003")</f>
        <v>EMS10260EVD3003</v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15.75" customHeight="1" x14ac:dyDescent="0.2">
      <c r="A84" s="7">
        <f ca="1">IFERROR(__xludf.DUMMYFUNCTION("""COMPUTED_VALUE"""),45247.5445191551)</f>
        <v>45247.544519155097</v>
      </c>
      <c r="B84" s="1" t="str">
        <f ca="1">IFERROR(__xludf.DUMMYFUNCTION("""COMPUTED_VALUE"""),"CEC")</f>
        <v>CEC</v>
      </c>
      <c r="C84" s="1" t="str">
        <f ca="1">IFERROR(__xludf.DUMMYFUNCTION("""COMPUTED_VALUE"""),"ea7257077831th")</f>
        <v>ea7257077831th</v>
      </c>
      <c r="D84" s="1" t="str">
        <f ca="1">IFERROR(__xludf.DUMMYFUNCTION("""COMPUTED_VALUE"""),"ยุจิน")</f>
        <v>ยุจิน</v>
      </c>
      <c r="E84" s="1" t="str">
        <f ca="1">IFERROR(__xludf.DUMMYFUNCTION("""COMPUTED_VALUE"""),"0635732535")</f>
        <v>0635732535</v>
      </c>
      <c r="F84" s="1" t="str">
        <f ca="1">IFERROR(__xludf.DUMMYFUNCTION("""COMPUTED_VALUE"""),"1000/70")</f>
        <v>1000/70</v>
      </c>
      <c r="G84" s="1" t="str">
        <f ca="1">IFERROR(__xludf.DUMMYFUNCTION("""COMPUTED_VALUE"""),"นำจ่ายใหม่")</f>
        <v>นำจ่ายใหม่</v>
      </c>
      <c r="H84" s="1" t="str">
        <f ca="1">IFERROR(__xludf.DUMMYFUNCTION("""COMPUTED_VALUE"""),"ผูัรับติดต่อขอรับเอง")</f>
        <v>ผูัรับติดต่อขอรับเอง</v>
      </c>
      <c r="I84" s="1" t="str">
        <f ca="1">IFERROR(__xludf.DUMMYFUNCTION("""COMPUTED_VALUE"""),"แจ้งเจ้าหน้าที่เกี่ยวข้องแล้ว")</f>
        <v>แจ้งเจ้าหน้าที่เกี่ยวข้องแล้ว</v>
      </c>
      <c r="J84" s="1" t="str">
        <f ca="1">IFERROR(__xludf.DUMMYFUNCTION("""COMPUTED_VALUE"""),"DB2")</f>
        <v>DB2</v>
      </c>
      <c r="K84" s="1" t="str">
        <f ca="1">IFERROR(__xludf.DUMMYFUNCTION("""COMPUTED_VALUE"""),"EMS10260EVD2013")</f>
        <v>EMS10260EVD2013</v>
      </c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15.75" customHeight="1" x14ac:dyDescent="0.2">
      <c r="A85" s="7">
        <f ca="1">IFERROR(__xludf.DUMMYFUNCTION("""COMPUTED_VALUE"""),45247.5732299652)</f>
        <v>45247.573229965201</v>
      </c>
      <c r="B85" s="1" t="str">
        <f ca="1">IFERROR(__xludf.DUMMYFUNCTION("""COMPUTED_VALUE"""),"CEC")</f>
        <v>CEC</v>
      </c>
      <c r="C85" s="1" t="str">
        <f ca="1">IFERROR(__xludf.DUMMYFUNCTION("""COMPUTED_VALUE"""),"ea725707831th")</f>
        <v>ea725707831th</v>
      </c>
      <c r="D85" s="1" t="str">
        <f ca="1">IFERROR(__xludf.DUMMYFUNCTION("""COMPUTED_VALUE"""),"ยุจิน")</f>
        <v>ยุจิน</v>
      </c>
      <c r="E85" s="1" t="str">
        <f ca="1">IFERROR(__xludf.DUMMYFUNCTION("""COMPUTED_VALUE"""),"0635322535")</f>
        <v>0635322535</v>
      </c>
      <c r="F85" s="1" t="str">
        <f ca="1">IFERROR(__xludf.DUMMYFUNCTION("""COMPUTED_VALUE"""),"1000/70  อุดมสุข26")</f>
        <v>1000/70  อุดมสุข26</v>
      </c>
      <c r="G85" s="1" t="str">
        <f ca="1">IFERROR(__xludf.DUMMYFUNCTION("""COMPUTED_VALUE"""),"นำจ่ายใหม่")</f>
        <v>นำจ่ายใหม่</v>
      </c>
      <c r="H85" s="1" t="str">
        <f ca="1">IFERROR(__xludf.DUMMYFUNCTION("""COMPUTED_VALUE"""),"ผู้รับจะติดต่อขอรับเอง")</f>
        <v>ผู้รับจะติดต่อขอรับเอง</v>
      </c>
      <c r="I85" s="1" t="str">
        <f ca="1">IFERROR(__xludf.DUMMYFUNCTION("""COMPUTED_VALUE"""),"แจ้งผู้เกี่ยวข้องแล้ว")</f>
        <v>แจ้งผู้เกี่ยวข้องแล้ว</v>
      </c>
      <c r="J85" s="1" t="str">
        <f ca="1">IFERROR(__xludf.DUMMYFUNCTION("""COMPUTED_VALUE"""),"DB2")</f>
        <v>DB2</v>
      </c>
      <c r="K85" s="1" t="str">
        <f ca="1">IFERROR(__xludf.DUMMYFUNCTION("""COMPUTED_VALUE"""),"EMS10260EVD2013")</f>
        <v>EMS10260EVD2013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15.75" customHeight="1" x14ac:dyDescent="0.2">
      <c r="A86" s="7">
        <f ca="1">IFERROR(__xludf.DUMMYFUNCTION("""COMPUTED_VALUE"""),45248.381550081)</f>
        <v>45248.381550081001</v>
      </c>
      <c r="B86" s="1" t="str">
        <f ca="1">IFERROR(__xludf.DUMMYFUNCTION("""COMPUTED_VALUE"""),"CEC")</f>
        <v>CEC</v>
      </c>
      <c r="C86" s="1" t="str">
        <f ca="1">IFERROR(__xludf.DUMMYFUNCTION("""COMPUTED_VALUE"""),"ek117722708th")</f>
        <v>ek117722708th</v>
      </c>
      <c r="D86" s="1" t="str">
        <f ca="1">IFERROR(__xludf.DUMMYFUNCTION("""COMPUTED_VALUE"""),"กมลวรรณ")</f>
        <v>กมลวรรณ</v>
      </c>
      <c r="E86" s="1" t="str">
        <f ca="1">IFERROR(__xludf.DUMMYFUNCTION("""COMPUTED_VALUE"""),"092-2801186")</f>
        <v>092-2801186</v>
      </c>
      <c r="F86" s="1" t="str">
        <f ca="1">IFERROR(__xludf.DUMMYFUNCTION("""COMPUTED_VALUE"""),"60 ซอย.ลาซาน 58 สุขุมวิท 105")</f>
        <v>60 ซอย.ลาซาน 58 สุขุมวิท 105</v>
      </c>
      <c r="G86" s="1" t="str">
        <f ca="1">IFERROR(__xludf.DUMMYFUNCTION("""COMPUTED_VALUE"""),"ตรวจสอบการนำจ่าย")</f>
        <v>ตรวจสอบการนำจ่าย</v>
      </c>
      <c r="H86" s="1" t="str">
        <f ca="1">IFERROR(__xludf.DUMMYFUNCTION("""COMPUTED_VALUE"""),"-")</f>
        <v>-</v>
      </c>
      <c r="I86" s="1" t="str">
        <f ca="1">IFERROR(__xludf.DUMMYFUNCTION("""COMPUTED_VALUE"""),"-")</f>
        <v>-</v>
      </c>
      <c r="J86" s="1" t="str">
        <f ca="1">IFERROR(__xludf.DUMMYFUNCTION("""COMPUTED_VALUE"""),"DB1")</f>
        <v>DB1</v>
      </c>
      <c r="K86" s="1" t="str">
        <f ca="1">IFERROR(__xludf.DUMMYFUNCTION("""COMPUTED_VALUE"""),"EMS10260EVD0151")</f>
        <v>EMS10260EVD0151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15.75" customHeight="1" x14ac:dyDescent="0.2">
      <c r="A87" s="7">
        <f ca="1">IFERROR(__xludf.DUMMYFUNCTION("""COMPUTED_VALUE"""),45248.4110028125)</f>
        <v>45248.4110028125</v>
      </c>
      <c r="B87" s="1" t="str">
        <f ca="1">IFERROR(__xludf.DUMMYFUNCTION("""COMPUTED_VALUE"""),"CEC")</f>
        <v>CEC</v>
      </c>
      <c r="C87" s="1" t="str">
        <f ca="1">IFERROR(__xludf.DUMMYFUNCTION("""COMPUTED_VALUE"""),"ed994610246th")</f>
        <v>ed994610246th</v>
      </c>
      <c r="D87" s="1" t="str">
        <f ca="1">IFERROR(__xludf.DUMMYFUNCTION("""COMPUTED_VALUE"""),"นิกร")</f>
        <v>นิกร</v>
      </c>
      <c r="E87" s="1" t="str">
        <f ca="1">IFERROR(__xludf.DUMMYFUNCTION("""COMPUTED_VALUE"""),"0926679494")</f>
        <v>0926679494</v>
      </c>
      <c r="F87" s="1" t="str">
        <f ca="1">IFERROR(__xludf.DUMMYFUNCTION("""COMPUTED_VALUE"""),"95/1037  สุขุมวิทย์ 64")</f>
        <v>95/1037  สุขุมวิทย์ 64</v>
      </c>
      <c r="G87" s="1" t="str">
        <f ca="1">IFERROR(__xludf.DUMMYFUNCTION("""COMPUTED_VALUE"""),"ตรวจสอบการนำจ่าย")</f>
        <v>ตรวจสอบการนำจ่าย</v>
      </c>
      <c r="H87" s="1" t="str">
        <f ca="1">IFERROR(__xludf.DUMMYFUNCTION("""COMPUTED_VALUE"""),"ผู้รับแจ้งว่า ถึงจุดจ่ายช่วยโทรติดต่อกับผู้รับด้วย")</f>
        <v>ผู้รับแจ้งว่า ถึงจุดจ่ายช่วยโทรติดต่อกับผู้รับด้วย</v>
      </c>
      <c r="I87" s="1" t="str">
        <f ca="1">IFERROR(__xludf.DUMMYFUNCTION("""COMPUTED_VALUE"""),"แจ้งเจ้าหน้าที่นำจ่ายแล้ว")</f>
        <v>แจ้งเจ้าหน้าที่นำจ่ายแล้ว</v>
      </c>
      <c r="J87" s="1" t="str">
        <f ca="1">IFERROR(__xludf.DUMMYFUNCTION("""COMPUTED_VALUE"""),"นำจ่ายรถยนต์")</f>
        <v>นำจ่ายรถยนต์</v>
      </c>
      <c r="K87" s="1" t="str">
        <f ca="1">IFERROR(__xludf.DUMMYFUNCTION("""COMPUTED_VALUE"""),"CAR10260EVD5003")</f>
        <v>CAR10260EVD5003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15.75" customHeight="1" x14ac:dyDescent="0.2">
      <c r="A88" s="7">
        <f ca="1">IFERROR(__xludf.DUMMYFUNCTION("""COMPUTED_VALUE"""),45248.4322911921)</f>
        <v>45248.432291192097</v>
      </c>
      <c r="B88" s="1" t="str">
        <f ca="1">IFERROR(__xludf.DUMMYFUNCTION("""COMPUTED_VALUE"""),"CEC")</f>
        <v>CEC</v>
      </c>
      <c r="C88" s="1" t="str">
        <f ca="1">IFERROR(__xludf.DUMMYFUNCTION("""COMPUTED_VALUE"""),"rl873602272th")</f>
        <v>rl873602272th</v>
      </c>
      <c r="D88" s="1" t="str">
        <f ca="1">IFERROR(__xludf.DUMMYFUNCTION("""COMPUTED_VALUE"""),"ทัศพร")</f>
        <v>ทัศพร</v>
      </c>
      <c r="E88" s="1" t="str">
        <f ca="1">IFERROR(__xludf.DUMMYFUNCTION("""COMPUTED_VALUE"""),"081-6947849")</f>
        <v>081-6947849</v>
      </c>
      <c r="F88" s="1" t="str">
        <f ca="1">IFERROR(__xludf.DUMMYFUNCTION("""COMPUTED_VALUE"""),"31 ซอย.อุดมสุข43 สุขุมวิท103")</f>
        <v>31 ซอย.อุดมสุข43 สุขุมวิท103</v>
      </c>
      <c r="G88" s="1" t="str">
        <f ca="1">IFERROR(__xludf.DUMMYFUNCTION("""COMPUTED_VALUE"""),"ตรวจสอบการนำจ่าย")</f>
        <v>ตรวจสอบการนำจ่าย</v>
      </c>
      <c r="H88" s="1" t="str">
        <f ca="1">IFERROR(__xludf.DUMMYFUNCTION("""COMPUTED_VALUE"""),"-")</f>
        <v>-</v>
      </c>
      <c r="I88" s="1" t="str">
        <f ca="1">IFERROR(__xludf.DUMMYFUNCTION("""COMPUTED_VALUE"""),"-")</f>
        <v>-</v>
      </c>
      <c r="J88" s="1" t="str">
        <f ca="1">IFERROR(__xludf.DUMMYFUNCTION("""COMPUTED_VALUE"""),"DB3")</f>
        <v>DB3</v>
      </c>
      <c r="K88" s="1" t="str">
        <f ca="1">IFERROR(__xludf.DUMMYFUNCTION("""COMPUTED_VALUE"""),"EMS10260EVD3039")</f>
        <v>EMS10260EVD3039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15.75" customHeight="1" x14ac:dyDescent="0.2">
      <c r="A89" s="7">
        <f ca="1">IFERROR(__xludf.DUMMYFUNCTION("""COMPUTED_VALUE"""),45248.4332881134)</f>
        <v>45248.433288113403</v>
      </c>
      <c r="B89" s="1" t="str">
        <f ca="1">IFERROR(__xludf.DUMMYFUNCTION("""COMPUTED_VALUE"""),"CEC")</f>
        <v>CEC</v>
      </c>
      <c r="C89" s="1" t="str">
        <f ca="1">IFERROR(__xludf.DUMMYFUNCTION("""COMPUTED_VALUE"""),"em386550601th")</f>
        <v>em386550601th</v>
      </c>
      <c r="D89" s="1" t="str">
        <f ca="1">IFERROR(__xludf.DUMMYFUNCTION("""COMPUTED_VALUE"""),"เอมปวีร์")</f>
        <v>เอมปวีร์</v>
      </c>
      <c r="E89" s="1" t="str">
        <f ca="1">IFERROR(__xludf.DUMMYFUNCTION("""COMPUTED_VALUE"""),"062-1976810")</f>
        <v>062-1976810</v>
      </c>
      <c r="F89" s="1" t="str">
        <f ca="1">IFERROR(__xludf.DUMMYFUNCTION("""COMPUTED_VALUE"""),"615/67 แรวเฮ้าส์เซอร์วิส2 ซ.สาธิต33")</f>
        <v>615/67 แรวเฮ้าส์เซอร์วิส2 ซ.สาธิต33</v>
      </c>
      <c r="G89" s="1" t="str">
        <f ca="1">IFERROR(__xludf.DUMMYFUNCTION("""COMPUTED_VALUE"""),"ตรวจสอบการนำจ่าย")</f>
        <v>ตรวจสอบการนำจ่าย</v>
      </c>
      <c r="H89" s="1" t="str">
        <f ca="1">IFERROR(__xludf.DUMMYFUNCTION("""COMPUTED_VALUE"""),"-")</f>
        <v>-</v>
      </c>
      <c r="I89" s="1" t="str">
        <f ca="1">IFERROR(__xludf.DUMMYFUNCTION("""COMPUTED_VALUE"""),"-")</f>
        <v>-</v>
      </c>
      <c r="J89" s="1" t="str">
        <f ca="1">IFERROR(__xludf.DUMMYFUNCTION("""COMPUTED_VALUE"""),"DB3")</f>
        <v>DB3</v>
      </c>
      <c r="K89" s="1" t="str">
        <f ca="1">IFERROR(__xludf.DUMMYFUNCTION("""COMPUTED_VALUE"""),"EMS10260EVD3024")</f>
        <v>EMS10260EVD3024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5.75" customHeight="1" x14ac:dyDescent="0.2">
      <c r="A90" s="7">
        <f ca="1">IFERROR(__xludf.DUMMYFUNCTION("""COMPUTED_VALUE"""),45248.4349111226)</f>
        <v>45248.434911122597</v>
      </c>
      <c r="B90" s="1" t="str">
        <f ca="1">IFERROR(__xludf.DUMMYFUNCTION("""COMPUTED_VALUE"""),"CEC")</f>
        <v>CEC</v>
      </c>
      <c r="C90" s="1" t="str">
        <f ca="1">IFERROR(__xludf.DUMMYFUNCTION("""COMPUTED_VALUE"""),"rj588875861th")</f>
        <v>rj588875861th</v>
      </c>
      <c r="D90" s="1" t="str">
        <f ca="1">IFERROR(__xludf.DUMMYFUNCTION("""COMPUTED_VALUE"""),"วัชรี")</f>
        <v>วัชรี</v>
      </c>
      <c r="E90" s="1" t="str">
        <f ca="1">IFERROR(__xludf.DUMMYFUNCTION("""COMPUTED_VALUE"""),"081-8442006")</f>
        <v>081-8442006</v>
      </c>
      <c r="F90" s="1" t="str">
        <f ca="1">IFERROR(__xludf.DUMMYFUNCTION("""COMPUTED_VALUE"""),"1014/33 บ้านธรรมสาธิต ซ.สาธิต57 ซ.101/1")</f>
        <v>1014/33 บ้านธรรมสาธิต ซ.สาธิต57 ซ.101/1</v>
      </c>
      <c r="G90" s="1" t="str">
        <f ca="1">IFERROR(__xludf.DUMMYFUNCTION("""COMPUTED_VALUE"""),"ตรวจสอบการนำจ่าย")</f>
        <v>ตรวจสอบการนำจ่าย</v>
      </c>
      <c r="H90" s="1" t="str">
        <f ca="1">IFERROR(__xludf.DUMMYFUNCTION("""COMPUTED_VALUE"""),"-")</f>
        <v>-</v>
      </c>
      <c r="I90" s="1" t="str">
        <f ca="1">IFERROR(__xludf.DUMMYFUNCTION("""COMPUTED_VALUE"""),"-")</f>
        <v>-</v>
      </c>
      <c r="J90" s="1" t="str">
        <f ca="1">IFERROR(__xludf.DUMMYFUNCTION("""COMPUTED_VALUE"""),"DB3")</f>
        <v>DB3</v>
      </c>
      <c r="K90" s="1" t="str">
        <f ca="1">IFERROR(__xludf.DUMMYFUNCTION("""COMPUTED_VALUE"""),"EMS10260EVD3029")</f>
        <v>EMS10260EVD3029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5.75" customHeight="1" x14ac:dyDescent="0.2">
      <c r="A91" s="7">
        <f ca="1">IFERROR(__xludf.DUMMYFUNCTION("""COMPUTED_VALUE"""),45248.4388301967)</f>
        <v>45248.438830196697</v>
      </c>
      <c r="B91" s="1" t="str">
        <f ca="1">IFERROR(__xludf.DUMMYFUNCTION("""COMPUTED_VALUE"""),"CEC")</f>
        <v>CEC</v>
      </c>
      <c r="C91" s="1" t="str">
        <f ca="1">IFERROR(__xludf.DUMMYFUNCTION("""COMPUTED_VALUE"""),"ob295568829th")</f>
        <v>ob295568829th</v>
      </c>
      <c r="D91" s="1" t="str">
        <f ca="1">IFERROR(__xludf.DUMMYFUNCTION("""COMPUTED_VALUE"""),"-")</f>
        <v>-</v>
      </c>
      <c r="E91" s="1" t="str">
        <f ca="1">IFERROR(__xludf.DUMMYFUNCTION("""COMPUTED_VALUE"""),"02-7413932")</f>
        <v>02-7413932</v>
      </c>
      <c r="F91" s="1" t="str">
        <f ca="1">IFERROR(__xludf.DUMMYFUNCTION("""COMPUTED_VALUE"""),"บมจ.ชาแซจส์ 55/7 ซอย.ปุณณวิถี 37 ซ.101")</f>
        <v>บมจ.ชาแซจส์ 55/7 ซอย.ปุณณวิถี 37 ซ.101</v>
      </c>
      <c r="G91" s="1" t="str">
        <f ca="1">IFERROR(__xludf.DUMMYFUNCTION("""COMPUTED_VALUE"""),"ตรวจสอบการนำจ่าย")</f>
        <v>ตรวจสอบการนำจ่าย</v>
      </c>
      <c r="H91" s="1" t="str">
        <f ca="1">IFERROR(__xludf.DUMMYFUNCTION("""COMPUTED_VALUE"""),"-")</f>
        <v>-</v>
      </c>
      <c r="I91" s="1" t="str">
        <f ca="1">IFERROR(__xludf.DUMMYFUNCTION("""COMPUTED_VALUE"""),"-")</f>
        <v>-</v>
      </c>
      <c r="J91" s="1" t="str">
        <f ca="1">IFERROR(__xludf.DUMMYFUNCTION("""COMPUTED_VALUE"""),"DB3")</f>
        <v>DB3</v>
      </c>
      <c r="K91" s="1" t="str">
        <f ca="1">IFERROR(__xludf.DUMMYFUNCTION("""COMPUTED_VALUE"""),"EMS10260EVD3016")</f>
        <v>EMS10260EVD3016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15.75" customHeight="1" x14ac:dyDescent="0.2">
      <c r="A92" s="7">
        <f ca="1">IFERROR(__xludf.DUMMYFUNCTION("""COMPUTED_VALUE"""),45248.4664570601)</f>
        <v>45248.466457060102</v>
      </c>
      <c r="B92" s="1" t="str">
        <f ca="1">IFERROR(__xludf.DUMMYFUNCTION("""COMPUTED_VALUE"""),"CEC")</f>
        <v>CEC</v>
      </c>
      <c r="C92" s="1" t="str">
        <f ca="1">IFERROR(__xludf.DUMMYFUNCTION("""COMPUTED_VALUE"""),"ey951922462th")</f>
        <v>ey951922462th</v>
      </c>
      <c r="D92" s="1" t="str">
        <f ca="1">IFERROR(__xludf.DUMMYFUNCTION("""COMPUTED_VALUE"""),"อภิรดี")</f>
        <v>อภิรดี</v>
      </c>
      <c r="E92" s="1" t="str">
        <f ca="1">IFERROR(__xludf.DUMMYFUNCTION("""COMPUTED_VALUE"""),"084-6355192")</f>
        <v>084-6355192</v>
      </c>
      <c r="F92" s="1" t="str">
        <f ca="1">IFERROR(__xludf.DUMMYFUNCTION("""COMPUTED_VALUE"""),"17 ซอย.ปุณณวิถี 30 สุขุมวิท 101")</f>
        <v>17 ซอย.ปุณณวิถี 30 สุขุมวิท 101</v>
      </c>
      <c r="G92" s="1" t="str">
        <f ca="1">IFERROR(__xludf.DUMMYFUNCTION("""COMPUTED_VALUE"""),"ตรวจสอบการนำจ่าย")</f>
        <v>ตรวจสอบการนำจ่าย</v>
      </c>
      <c r="H92" s="1" t="str">
        <f ca="1">IFERROR(__xludf.DUMMYFUNCTION("""COMPUTED_VALUE"""),"-")</f>
        <v>-</v>
      </c>
      <c r="I92" s="1" t="str">
        <f ca="1">IFERROR(__xludf.DUMMYFUNCTION("""COMPUTED_VALUE"""),"-")</f>
        <v>-</v>
      </c>
      <c r="J92" s="1" t="str">
        <f ca="1">IFERROR(__xludf.DUMMYFUNCTION("""COMPUTED_VALUE"""),"DB3")</f>
        <v>DB3</v>
      </c>
      <c r="K92" s="1" t="str">
        <f ca="1">IFERROR(__xludf.DUMMYFUNCTION("""COMPUTED_VALUE"""),"EMS10260EVD3020")</f>
        <v>EMS10260EVD3020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15.75" customHeight="1" x14ac:dyDescent="0.2">
      <c r="A93" s="7">
        <f ca="1">IFERROR(__xludf.DUMMYFUNCTION("""COMPUTED_VALUE"""),45248.4879963425)</f>
        <v>45248.487996342497</v>
      </c>
      <c r="B93" s="1" t="str">
        <f ca="1">IFERROR(__xludf.DUMMYFUNCTION("""COMPUTED_VALUE"""),"On Queue")</f>
        <v>On Queue</v>
      </c>
      <c r="C93" s="1" t="str">
        <f ca="1">IFERROR(__xludf.DUMMYFUNCTION("""COMPUTED_VALUE"""),"eh891550982th")</f>
        <v>eh891550982th</v>
      </c>
      <c r="D93" s="1" t="str">
        <f ca="1">IFERROR(__xludf.DUMMYFUNCTION("""COMPUTED_VALUE"""),"อมลวรรณ")</f>
        <v>อมลวรรณ</v>
      </c>
      <c r="E93" s="1" t="str">
        <f ca="1">IFERROR(__xludf.DUMMYFUNCTION("""COMPUTED_VALUE"""),"098-0988894")</f>
        <v>098-0988894</v>
      </c>
      <c r="F93" s="1" t="str">
        <f ca="1">IFERROR(__xludf.DUMMYFUNCTION("""COMPUTED_VALUE"""),"129/1 ซอย.ลาซาน72 สุขุมวิท105")</f>
        <v>129/1 ซอย.ลาซาน72 สุขุมวิท105</v>
      </c>
      <c r="G93" s="1" t="str">
        <f ca="1">IFERROR(__xludf.DUMMYFUNCTION("""COMPUTED_VALUE"""),"ตรวจสอบการนำจ่าย")</f>
        <v>ตรวจสอบการนำจ่าย</v>
      </c>
      <c r="H93" s="1" t="str">
        <f ca="1">IFERROR(__xludf.DUMMYFUNCTION("""COMPUTED_VALUE"""),"-")</f>
        <v>-</v>
      </c>
      <c r="I93" s="1" t="str">
        <f ca="1">IFERROR(__xludf.DUMMYFUNCTION("""COMPUTED_VALUE"""),"-")</f>
        <v>-</v>
      </c>
      <c r="J93" s="1" t="str">
        <f ca="1">IFERROR(__xludf.DUMMYFUNCTION("""COMPUTED_VALUE"""),"DB1")</f>
        <v>DB1</v>
      </c>
      <c r="K93" s="1" t="str">
        <f ca="1">IFERROR(__xludf.DUMMYFUNCTION("""COMPUTED_VALUE"""),"EMS10260EVD1020")</f>
        <v>EMS10260EVD1020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15.75" customHeight="1" x14ac:dyDescent="0.2">
      <c r="A94" s="7">
        <f ca="1">IFERROR(__xludf.DUMMYFUNCTION("""COMPUTED_VALUE"""),45248.5256931365)</f>
        <v>45248.5256931365</v>
      </c>
      <c r="B94" s="1" t="str">
        <f ca="1">IFERROR(__xludf.DUMMYFUNCTION("""COMPUTED_VALUE"""),"CEC")</f>
        <v>CEC</v>
      </c>
      <c r="C94" s="1" t="str">
        <f ca="1">IFERROR(__xludf.DUMMYFUNCTION("""COMPUTED_VALUE"""),"eb951137081th")</f>
        <v>eb951137081th</v>
      </c>
      <c r="D94" s="1" t="str">
        <f ca="1">IFERROR(__xludf.DUMMYFUNCTION("""COMPUTED_VALUE"""),"อนุธิดา")</f>
        <v>อนุธิดา</v>
      </c>
      <c r="E94" s="1" t="str">
        <f ca="1">IFERROR(__xludf.DUMMYFUNCTION("""COMPUTED_VALUE"""),"063-9692145")</f>
        <v>063-9692145</v>
      </c>
      <c r="F94" s="1" t="str">
        <f ca="1">IFERROR(__xludf.DUMMYFUNCTION("""COMPUTED_VALUE"""),"203 ซอย.บุญแจ่ม 1 สรรพาวุธ บางนา")</f>
        <v>203 ซอย.บุญแจ่ม 1 สรรพาวุธ บางนา</v>
      </c>
      <c r="G94" s="1" t="str">
        <f ca="1">IFERROR(__xludf.DUMMYFUNCTION("""COMPUTED_VALUE"""),"ตรวจสอบการนำจ่าย")</f>
        <v>ตรวจสอบการนำจ่าย</v>
      </c>
      <c r="H94" s="1" t="str">
        <f ca="1">IFERROR(__xludf.DUMMYFUNCTION("""COMPUTED_VALUE"""),"-")</f>
        <v>-</v>
      </c>
      <c r="I94" s="1" t="str">
        <f ca="1">IFERROR(__xludf.DUMMYFUNCTION("""COMPUTED_VALUE"""),"-")</f>
        <v>-</v>
      </c>
      <c r="J94" s="1" t="str">
        <f ca="1">IFERROR(__xludf.DUMMYFUNCTION("""COMPUTED_VALUE"""),"DB1")</f>
        <v>DB1</v>
      </c>
      <c r="K94" s="1" t="str">
        <f ca="1">IFERROR(__xludf.DUMMYFUNCTION("""COMPUTED_VALUE"""),"EMS10260EVD1003")</f>
        <v>EMS10260EVD1003</v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15.75" customHeight="1" x14ac:dyDescent="0.2">
      <c r="A95" s="7">
        <f ca="1">IFERROR(__xludf.DUMMYFUNCTION("""COMPUTED_VALUE"""),45248.5268529166)</f>
        <v>45248.526852916599</v>
      </c>
      <c r="B95" s="1" t="str">
        <f ca="1">IFERROR(__xludf.DUMMYFUNCTION("""COMPUTED_VALUE"""),"CEC")</f>
        <v>CEC</v>
      </c>
      <c r="C95" s="1" t="str">
        <f ca="1">IFERROR(__xludf.DUMMYFUNCTION("""COMPUTED_VALUE"""),"ey951922462th")</f>
        <v>ey951922462th</v>
      </c>
      <c r="D95" s="1" t="str">
        <f ca="1">IFERROR(__xludf.DUMMYFUNCTION("""COMPUTED_VALUE"""),"อภิรดี")</f>
        <v>อภิรดี</v>
      </c>
      <c r="E95" s="1" t="str">
        <f ca="1">IFERROR(__xludf.DUMMYFUNCTION("""COMPUTED_VALUE"""),"084-6355192")</f>
        <v>084-6355192</v>
      </c>
      <c r="F95" s="1" t="str">
        <f ca="1">IFERROR(__xludf.DUMMYFUNCTION("""COMPUTED_VALUE"""),"17 ซอย.ปุณรวิถี 30 สุขุมวิท101")</f>
        <v>17 ซอย.ปุณรวิถี 30 สุขุมวิท101</v>
      </c>
      <c r="G95" s="1" t="str">
        <f ca="1">IFERROR(__xludf.DUMMYFUNCTION("""COMPUTED_VALUE"""),"ตรวจสอบการนำจ่าย")</f>
        <v>ตรวจสอบการนำจ่าย</v>
      </c>
      <c r="H95" s="1" t="str">
        <f ca="1">IFERROR(__xludf.DUMMYFUNCTION("""COMPUTED_VALUE"""),"-")</f>
        <v>-</v>
      </c>
      <c r="I95" s="1" t="str">
        <f ca="1">IFERROR(__xludf.DUMMYFUNCTION("""COMPUTED_VALUE"""),"-")</f>
        <v>-</v>
      </c>
      <c r="J95" s="1" t="str">
        <f ca="1">IFERROR(__xludf.DUMMYFUNCTION("""COMPUTED_VALUE"""),"DB3")</f>
        <v>DB3</v>
      </c>
      <c r="K95" s="1" t="str">
        <f ca="1">IFERROR(__xludf.DUMMYFUNCTION("""COMPUTED_VALUE"""),"EMS10260EVD3020")</f>
        <v>EMS10260EVD3020</v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15.75" customHeight="1" x14ac:dyDescent="0.2">
      <c r="A96" s="7">
        <f ca="1">IFERROR(__xludf.DUMMYFUNCTION("""COMPUTED_VALUE"""),45248.5334483449)</f>
        <v>45248.533448344897</v>
      </c>
      <c r="B96" s="1" t="str">
        <f ca="1">IFERROR(__xludf.DUMMYFUNCTION("""COMPUTED_VALUE"""),"CEC")</f>
        <v>CEC</v>
      </c>
      <c r="C96" s="1" t="str">
        <f ca="1">IFERROR(__xludf.DUMMYFUNCTION("""COMPUTED_VALUE"""),"en306210045th")</f>
        <v>en306210045th</v>
      </c>
      <c r="D96" s="1" t="str">
        <f ca="1">IFERROR(__xludf.DUMMYFUNCTION("""COMPUTED_VALUE"""),"ณิชากร")</f>
        <v>ณิชากร</v>
      </c>
      <c r="E96" s="1" t="str">
        <f ca="1">IFERROR(__xludf.DUMMYFUNCTION("""COMPUTED_VALUE"""),"092-9269445")</f>
        <v>092-9269445</v>
      </c>
      <c r="F96" s="1" t="str">
        <f ca="1">IFERROR(__xludf.DUMMYFUNCTION("""COMPUTED_VALUE"""),"128 ซอย.พึงมี 11 สุขุมวิม 93")</f>
        <v>128 ซอย.พึงมี 11 สุขุมวิม 93</v>
      </c>
      <c r="G96" s="1" t="str">
        <f ca="1">IFERROR(__xludf.DUMMYFUNCTION("""COMPUTED_VALUE"""),"ตรวจสอบการนำจ่าย")</f>
        <v>ตรวจสอบการนำจ่าย</v>
      </c>
      <c r="H96" s="1" t="str">
        <f ca="1">IFERROR(__xludf.DUMMYFUNCTION("""COMPUTED_VALUE"""),"-")</f>
        <v>-</v>
      </c>
      <c r="I96" s="1" t="str">
        <f ca="1">IFERROR(__xludf.DUMMYFUNCTION("""COMPUTED_VALUE"""),"-")</f>
        <v>-</v>
      </c>
      <c r="J96" s="1" t="str">
        <f ca="1">IFERROR(__xludf.DUMMYFUNCTION("""COMPUTED_VALUE"""),"DB3")</f>
        <v>DB3</v>
      </c>
      <c r="K96" s="1" t="str">
        <f ca="1">IFERROR(__xludf.DUMMYFUNCTION("""COMPUTED_VALUE"""),"EMS10260EVD3004")</f>
        <v>EMS10260EVD3004</v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5.75" customHeight="1" x14ac:dyDescent="0.2">
      <c r="A97" s="7">
        <f ca="1">IFERROR(__xludf.DUMMYFUNCTION("""COMPUTED_VALUE"""),45248.6084770138)</f>
        <v>45248.608477013797</v>
      </c>
      <c r="B97" s="1" t="str">
        <f ca="1">IFERROR(__xludf.DUMMYFUNCTION("""COMPUTED_VALUE"""),"CEC")</f>
        <v>CEC</v>
      </c>
      <c r="C97" s="1" t="str">
        <f ca="1">IFERROR(__xludf.DUMMYFUNCTION("""COMPUTED_VALUE"""),"ed002290932")</f>
        <v>ed002290932</v>
      </c>
      <c r="D97" s="1" t="str">
        <f ca="1">IFERROR(__xludf.DUMMYFUNCTION("""COMPUTED_VALUE"""),"สรธร")</f>
        <v>สรธร</v>
      </c>
      <c r="E97" s="1" t="str">
        <f ca="1">IFERROR(__xludf.DUMMYFUNCTION("""COMPUTED_VALUE"""),"0969560807")</f>
        <v>0969560807</v>
      </c>
      <c r="F97" s="1" t="str">
        <f ca="1">IFERROR(__xludf.DUMMYFUNCTION("""COMPUTED_VALUE"""),"17 เมย์บ้านเช่า")</f>
        <v>17 เมย์บ้านเช่า</v>
      </c>
      <c r="G97" s="1" t="str">
        <f ca="1">IFERROR(__xludf.DUMMYFUNCTION("""COMPUTED_VALUE"""),"ตรวจสอบการนำจ่าย")</f>
        <v>ตรวจสอบการนำจ่าย</v>
      </c>
      <c r="H97" s="1" t="str">
        <f ca="1">IFERROR(__xludf.DUMMYFUNCTION("""COMPUTED_VALUE"""),"ผู้รับจะติดต่อขอรับเอง")</f>
        <v>ผู้รับจะติดต่อขอรับเอง</v>
      </c>
      <c r="I97" s="1" t="str">
        <f ca="1">IFERROR(__xludf.DUMMYFUNCTION("""COMPUTED_VALUE"""),"แจ้งผู้เกี่ยวข้องแล้ว")</f>
        <v>แจ้งผู้เกี่ยวข้องแล้ว</v>
      </c>
      <c r="J97" s="1" t="str">
        <f ca="1">IFERROR(__xludf.DUMMYFUNCTION("""COMPUTED_VALUE"""),"DB1")</f>
        <v>DB1</v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5.75" customHeight="1" x14ac:dyDescent="0.2">
      <c r="A98" s="7">
        <f ca="1">IFERROR(__xludf.DUMMYFUNCTION("""COMPUTED_VALUE"""),45249.5318911226)</f>
        <v>45249.531891122599</v>
      </c>
      <c r="B98" s="1" t="str">
        <f ca="1">IFERROR(__xludf.DUMMYFUNCTION("""COMPUTED_VALUE"""),"CEC")</f>
        <v>CEC</v>
      </c>
      <c r="C98" s="1" t="str">
        <f ca="1">IFERROR(__xludf.DUMMYFUNCTION("""COMPUTED_VALUE"""),"en386086358th")</f>
        <v>en386086358th</v>
      </c>
      <c r="D98" s="1" t="str">
        <f ca="1">IFERROR(__xludf.DUMMYFUNCTION("""COMPUTED_VALUE"""),"parinyachat p.")</f>
        <v>parinyachat p.</v>
      </c>
      <c r="E98" s="1" t="str">
        <f ca="1">IFERROR(__xludf.DUMMYFUNCTION("""COMPUTED_VALUE"""),"064-4466418")</f>
        <v>064-4466418</v>
      </c>
      <c r="F98" s="1" t="str">
        <f ca="1">IFERROR(__xludf.DUMMYFUNCTION("""COMPUTED_VALUE"""),"4379/598 คอนโดไอดิโอโมบิอีตส์พ้อยส์ สุขุมวิท")</f>
        <v>4379/598 คอนโดไอดิโอโมบิอีตส์พ้อยส์ สุขุมวิท</v>
      </c>
      <c r="G98" s="1" t="str">
        <f ca="1">IFERROR(__xludf.DUMMYFUNCTION("""COMPUTED_VALUE"""),"ตรวจสอบการนำจ่าย")</f>
        <v>ตรวจสอบการนำจ่าย</v>
      </c>
      <c r="H98" s="1" t="str">
        <f ca="1">IFERROR(__xludf.DUMMYFUNCTION("""COMPUTED_VALUE"""),"-")</f>
        <v>-</v>
      </c>
      <c r="I98" s="1" t="str">
        <f ca="1">IFERROR(__xludf.DUMMYFUNCTION("""COMPUTED_VALUE"""),"-")</f>
        <v>-</v>
      </c>
      <c r="J98" s="1" t="str">
        <f ca="1">IFERROR(__xludf.DUMMYFUNCTION("""COMPUTED_VALUE"""),"นำจ่ายรถยนต์")</f>
        <v>นำจ่ายรถยนต์</v>
      </c>
      <c r="K98" s="1" t="str">
        <f ca="1">IFERROR(__xludf.DUMMYFUNCTION("""COMPUTED_VALUE"""),"CAR10260EVD5005")</f>
        <v>CAR10260EVD5005</v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15.75" customHeight="1" x14ac:dyDescent="0.2">
      <c r="A99" s="7">
        <f ca="1">IFERROR(__xludf.DUMMYFUNCTION("""COMPUTED_VALUE"""),45249.5349883101)</f>
        <v>45249.534988310101</v>
      </c>
      <c r="B99" s="1" t="str">
        <f ca="1">IFERROR(__xludf.DUMMYFUNCTION("""COMPUTED_VALUE"""),"CEC")</f>
        <v>CEC</v>
      </c>
      <c r="C99" s="1" t="str">
        <f ca="1">IFERROR(__xludf.DUMMYFUNCTION("""COMPUTED_VALUE"""),"ed864775884th / ed864775898th")</f>
        <v>ed864775884th / ed864775898th</v>
      </c>
      <c r="D99" s="1" t="str">
        <f ca="1">IFERROR(__xludf.DUMMYFUNCTION("""COMPUTED_VALUE"""),"Elizaveta ")</f>
        <v xml:space="preserve">Elizaveta </v>
      </c>
      <c r="E99" s="1" t="str">
        <f ca="1">IFERROR(__xludf.DUMMYFUNCTION("""COMPUTED_VALUE"""),"082-2226868")</f>
        <v>082-2226868</v>
      </c>
      <c r="F99" s="1" t="str">
        <f ca="1">IFERROR(__xludf.DUMMYFUNCTION("""COMPUTED_VALUE"""),"8 โรงแรมลียอง ห้อง เอ108 ซ.ลาซาน27")</f>
        <v>8 โรงแรมลียอง ห้อง เอ108 ซ.ลาซาน27</v>
      </c>
      <c r="G99" s="1" t="str">
        <f ca="1">IFERROR(__xludf.DUMMYFUNCTION("""COMPUTED_VALUE"""),"นำจ่ายใหม่")</f>
        <v>นำจ่ายใหม่</v>
      </c>
      <c r="H99" s="1" t="str">
        <f ca="1">IFERROR(__xludf.DUMMYFUNCTION("""COMPUTED_VALUE"""),"-")</f>
        <v>-</v>
      </c>
      <c r="I99" s="1" t="str">
        <f ca="1">IFERROR(__xludf.DUMMYFUNCTION("""COMPUTED_VALUE"""),"-")</f>
        <v>-</v>
      </c>
      <c r="J99" s="1" t="str">
        <f ca="1">IFERROR(__xludf.DUMMYFUNCTION("""COMPUTED_VALUE"""),"นำจ่ายรถยนต์")</f>
        <v>นำจ่ายรถยนต์</v>
      </c>
      <c r="K99" s="1" t="str">
        <f ca="1">IFERROR(__xludf.DUMMYFUNCTION("""COMPUTED_VALUE"""),"CAR10260EVD5006")</f>
        <v>CAR10260EVD5006</v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5.75" customHeight="1" x14ac:dyDescent="0.2">
      <c r="A100" s="7">
        <f ca="1">IFERROR(__xludf.DUMMYFUNCTION("""COMPUTED_VALUE"""),45249.5536091782)</f>
        <v>45249.553609178198</v>
      </c>
      <c r="B100" s="1" t="str">
        <f ca="1">IFERROR(__xludf.DUMMYFUNCTION("""COMPUTED_VALUE"""),"On Queue")</f>
        <v>On Queue</v>
      </c>
      <c r="C100" s="1" t="str">
        <f ca="1">IFERROR(__xludf.DUMMYFUNCTION("""COMPUTED_VALUE"""),"ri896965862th")</f>
        <v>ri896965862th</v>
      </c>
      <c r="D100" s="1" t="str">
        <f ca="1">IFERROR(__xludf.DUMMYFUNCTION("""COMPUTED_VALUE"""),"จิรวัฒน์")</f>
        <v>จิรวัฒน์</v>
      </c>
      <c r="E100" s="1" t="str">
        <f ca="1">IFERROR(__xludf.DUMMYFUNCTION("""COMPUTED_VALUE"""),"084-5916663")</f>
        <v>084-5916663</v>
      </c>
      <c r="F100" s="1" t="str">
        <f ca="1">IFERROR(__xludf.DUMMYFUNCTION("""COMPUTED_VALUE"""),"123/33 คอนโดควินทารา อาเท่ สุขุมวิท52")</f>
        <v>123/33 คอนโดควินทารา อาเท่ สุขุมวิท52</v>
      </c>
      <c r="G100" s="1" t="str">
        <f ca="1">IFERROR(__xludf.DUMMYFUNCTION("""COMPUTED_VALUE"""),"ตรวจสอบการนำจ่าย")</f>
        <v>ตรวจสอบการนำจ่าย</v>
      </c>
      <c r="H100" s="1" t="str">
        <f ca="1">IFERROR(__xludf.DUMMYFUNCTION("""COMPUTED_VALUE"""),"-")</f>
        <v>-</v>
      </c>
      <c r="I100" s="1" t="str">
        <f ca="1">IFERROR(__xludf.DUMMYFUNCTION("""COMPUTED_VALUE"""),"-")</f>
        <v>-</v>
      </c>
      <c r="J100" s="1" t="str">
        <f ca="1">IFERROR(__xludf.DUMMYFUNCTION("""COMPUTED_VALUE"""),"นำจ่ายรถยนต์")</f>
        <v>นำจ่ายรถยนต์</v>
      </c>
      <c r="K100" s="1" t="str">
        <f ca="1">IFERROR(__xludf.DUMMYFUNCTION("""COMPUTED_VALUE"""),"CAR10260EVD5004")</f>
        <v>CAR10260EVD5004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15.75" customHeight="1" x14ac:dyDescent="0.2">
      <c r="A101" s="7">
        <f ca="1">IFERROR(__xludf.DUMMYFUNCTION("""COMPUTED_VALUE"""),45249.5587080092)</f>
        <v>45249.558708009201</v>
      </c>
      <c r="B101" s="1" t="str">
        <f ca="1">IFERROR(__xludf.DUMMYFUNCTION("""COMPUTED_VALUE"""),"CEC")</f>
        <v>CEC</v>
      </c>
      <c r="C101" s="1" t="str">
        <f ca="1">IFERROR(__xludf.DUMMYFUNCTION("""COMPUTED_VALUE"""),"ri896998772th")</f>
        <v>ri896998772th</v>
      </c>
      <c r="D101" s="1" t="str">
        <f ca="1">IFERROR(__xludf.DUMMYFUNCTION("""COMPUTED_VALUE"""),"ณัฐนนท์")</f>
        <v>ณัฐนนท์</v>
      </c>
      <c r="E101" s="1" t="str">
        <f ca="1">IFERROR(__xludf.DUMMYFUNCTION("""COMPUTED_VALUE"""),"098-4792530")</f>
        <v>098-4792530</v>
      </c>
      <c r="F101" s="1" t="str">
        <f ca="1">IFERROR(__xludf.DUMMYFUNCTION("""COMPUTED_VALUE"""),"289 คอนโดเดอะเบส สุขุมวิท 77")</f>
        <v>289 คอนโดเดอะเบส สุขุมวิท 77</v>
      </c>
      <c r="G101" s="1" t="str">
        <f ca="1">IFERROR(__xludf.DUMMYFUNCTION("""COMPUTED_VALUE"""),"ตรวจสอบการนำจ่าย")</f>
        <v>ตรวจสอบการนำจ่าย</v>
      </c>
      <c r="H101" s="1" t="str">
        <f ca="1">IFERROR(__xludf.DUMMYFUNCTION("""COMPUTED_VALUE"""),"-")</f>
        <v>-</v>
      </c>
      <c r="I101" s="1" t="str">
        <f ca="1">IFERROR(__xludf.DUMMYFUNCTION("""COMPUTED_VALUE"""),"-")</f>
        <v>-</v>
      </c>
      <c r="J101" s="1" t="str">
        <f ca="1">IFERROR(__xludf.DUMMYFUNCTION("""COMPUTED_VALUE"""),"นำจ่ายรถยนต์")</f>
        <v>นำจ่ายรถยนต์</v>
      </c>
      <c r="K101" s="1" t="str">
        <f ca="1">IFERROR(__xludf.DUMMYFUNCTION("""COMPUTED_VALUE"""),"CAR10260EVD5014")</f>
        <v>CAR10260EVD5014</v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15.75" customHeight="1" x14ac:dyDescent="0.2">
      <c r="A102" s="7">
        <f ca="1">IFERROR(__xludf.DUMMYFUNCTION("""COMPUTED_VALUE"""),45249.5678968402)</f>
        <v>45249.567896840199</v>
      </c>
      <c r="B102" s="1" t="str">
        <f ca="1">IFERROR(__xludf.DUMMYFUNCTION("""COMPUTED_VALUE"""),"CEC")</f>
        <v>CEC</v>
      </c>
      <c r="C102" s="1" t="str">
        <f ca="1">IFERROR(__xludf.DUMMYFUNCTION("""COMPUTED_VALUE"""),"ob276723707th")</f>
        <v>ob276723707th</v>
      </c>
      <c r="D102" s="1" t="str">
        <f ca="1">IFERROR(__xludf.DUMMYFUNCTION("""COMPUTED_VALUE"""),"ปริญวัฒน์")</f>
        <v>ปริญวัฒน์</v>
      </c>
      <c r="E102" s="1" t="str">
        <f ca="1">IFERROR(__xludf.DUMMYFUNCTION("""COMPUTED_VALUE"""),"082-5166456")</f>
        <v>082-5166456</v>
      </c>
      <c r="F102" s="1" t="str">
        <f ca="1">IFERROR(__xludf.DUMMYFUNCTION("""COMPUTED_VALUE"""),"คอนโดดิเอ็กซ์เซล ซอย.สุขุมวิท 50")</f>
        <v>คอนโดดิเอ็กซ์เซล ซอย.สุขุมวิท 50</v>
      </c>
      <c r="G102" s="1" t="str">
        <f ca="1">IFERROR(__xludf.DUMMYFUNCTION("""COMPUTED_VALUE"""),"ตรวจสอบการนำจ่าย")</f>
        <v>ตรวจสอบการนำจ่าย</v>
      </c>
      <c r="H102" s="1" t="str">
        <f ca="1">IFERROR(__xludf.DUMMYFUNCTION("""COMPUTED_VALUE"""),"-")</f>
        <v>-</v>
      </c>
      <c r="I102" s="1" t="str">
        <f ca="1">IFERROR(__xludf.DUMMYFUNCTION("""COMPUTED_VALUE"""),"-")</f>
        <v>-</v>
      </c>
      <c r="J102" s="1" t="str">
        <f ca="1">IFERROR(__xludf.DUMMYFUNCTION("""COMPUTED_VALUE"""),"นำจ่ายรถยนต์")</f>
        <v>นำจ่ายรถยนต์</v>
      </c>
      <c r="K102" s="1" t="str">
        <f ca="1">IFERROR(__xludf.DUMMYFUNCTION("""COMPUTED_VALUE"""),"CAR10260EVD5002")</f>
        <v>CAR10260EVD5002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15.75" customHeight="1" x14ac:dyDescent="0.2">
      <c r="A103" s="7">
        <f ca="1">IFERROR(__xludf.DUMMYFUNCTION("""COMPUTED_VALUE"""),45249.5812578125)</f>
        <v>45249.581257812497</v>
      </c>
      <c r="B103" s="1" t="str">
        <f ca="1">IFERROR(__xludf.DUMMYFUNCTION("""COMPUTED_VALUE"""),"CEC")</f>
        <v>CEC</v>
      </c>
      <c r="C103" s="1" t="str">
        <f ca="1">IFERROR(__xludf.DUMMYFUNCTION("""COMPUTED_VALUE"""),"eb951647270th")</f>
        <v>eb951647270th</v>
      </c>
      <c r="D103" s="1" t="str">
        <f ca="1">IFERROR(__xludf.DUMMYFUNCTION("""COMPUTED_VALUE"""),"เบญจมาศ")</f>
        <v>เบญจมาศ</v>
      </c>
      <c r="E103" s="1" t="str">
        <f ca="1">IFERROR(__xludf.DUMMYFUNCTION("""COMPUTED_VALUE"""),"089-8924935")</f>
        <v>089-8924935</v>
      </c>
      <c r="F103" s="1" t="str">
        <f ca="1">IFERROR(__xludf.DUMMYFUNCTION("""COMPUTED_VALUE"""),"304/795 ซอย.พึงมี50/38 สุขุมวิท93")</f>
        <v>304/795 ซอย.พึงมี50/38 สุขุมวิท93</v>
      </c>
      <c r="G103" s="1" t="str">
        <f ca="1">IFERROR(__xludf.DUMMYFUNCTION("""COMPUTED_VALUE"""),"ตรวจสอบการนำจ่าย")</f>
        <v>ตรวจสอบการนำจ่าย</v>
      </c>
      <c r="H103" s="1" t="str">
        <f ca="1">IFERROR(__xludf.DUMMYFUNCTION("""COMPUTED_VALUE"""),"-")</f>
        <v>-</v>
      </c>
      <c r="I103" s="1" t="str">
        <f ca="1">IFERROR(__xludf.DUMMYFUNCTION("""COMPUTED_VALUE"""),"-")</f>
        <v>-</v>
      </c>
      <c r="J103" s="1" t="str">
        <f ca="1">IFERROR(__xludf.DUMMYFUNCTION("""COMPUTED_VALUE"""),"DB3")</f>
        <v>DB3</v>
      </c>
      <c r="K103" s="1" t="str">
        <f ca="1">IFERROR(__xludf.DUMMYFUNCTION("""COMPUTED_VALUE"""),"EMS10260EVD3008")</f>
        <v>EMS10260EVD3008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15.75" customHeight="1" x14ac:dyDescent="0.2">
      <c r="A104" s="7">
        <f ca="1">IFERROR(__xludf.DUMMYFUNCTION("""COMPUTED_VALUE"""),45249.672432824)</f>
        <v>45249.672432824002</v>
      </c>
      <c r="B104" s="1" t="str">
        <f ca="1">IFERROR(__xludf.DUMMYFUNCTION("""COMPUTED_VALUE"""),"CEC")</f>
        <v>CEC</v>
      </c>
      <c r="C104" s="1" t="str">
        <f ca="1">IFERROR(__xludf.DUMMYFUNCTION("""COMPUTED_VALUE"""),"em425479226th")</f>
        <v>em425479226th</v>
      </c>
      <c r="D104" s="1" t="str">
        <f ca="1">IFERROR(__xludf.DUMMYFUNCTION("""COMPUTED_VALUE"""),"สรัญญา")</f>
        <v>สรัญญา</v>
      </c>
      <c r="E104" s="1" t="str">
        <f ca="1">IFERROR(__xludf.DUMMYFUNCTION("""COMPUTED_VALUE"""),"061-0164429")</f>
        <v>061-0164429</v>
      </c>
      <c r="F104" s="1" t="str">
        <f ca="1">IFERROR(__xludf.DUMMYFUNCTION("""COMPUTED_VALUE"""),"142 บ้านพัก บ.ไม้อัดไทย สรรพาวุธ")</f>
        <v>142 บ้านพัก บ.ไม้อัดไทย สรรพาวุธ</v>
      </c>
      <c r="G104" s="1" t="str">
        <f ca="1">IFERROR(__xludf.DUMMYFUNCTION("""COMPUTED_VALUE"""),"นำจ่ายใหม่")</f>
        <v>นำจ่ายใหม่</v>
      </c>
      <c r="H104" s="1" t="str">
        <f ca="1">IFERROR(__xludf.DUMMYFUNCTION("""COMPUTED_VALUE"""),"-")</f>
        <v>-</v>
      </c>
      <c r="I104" s="1" t="str">
        <f ca="1">IFERROR(__xludf.DUMMYFUNCTION("""COMPUTED_VALUE"""),"-")</f>
        <v>-</v>
      </c>
      <c r="J104" s="1" t="str">
        <f ca="1">IFERROR(__xludf.DUMMYFUNCTION("""COMPUTED_VALUE"""),"DB2")</f>
        <v>DB2</v>
      </c>
      <c r="K104" s="1" t="str">
        <f ca="1">IFERROR(__xludf.DUMMYFUNCTION("""COMPUTED_VALUE"""),"EMS10260EVD2001")</f>
        <v>EMS10260EVD2001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15.75" customHeight="1" x14ac:dyDescent="0.2">
      <c r="A105" s="7">
        <f ca="1">IFERROR(__xludf.DUMMYFUNCTION("""COMPUTED_VALUE"""),45250.4694074074)</f>
        <v>45250.4694074074</v>
      </c>
      <c r="B105" s="1" t="str">
        <f ca="1">IFERROR(__xludf.DUMMYFUNCTION("""COMPUTED_VALUE"""),"CEC")</f>
        <v>CEC</v>
      </c>
      <c r="C105" s="1" t="str">
        <f ca="1">IFERROR(__xludf.DUMMYFUNCTION("""COMPUTED_VALUE"""),"ed004220435th")</f>
        <v>ed004220435th</v>
      </c>
      <c r="D105" s="1" t="str">
        <f ca="1">IFERROR(__xludf.DUMMYFUNCTION("""COMPUTED_VALUE"""),"บ.สุขสันต์")</f>
        <v>บ.สุขสันต์</v>
      </c>
      <c r="E105" s="1" t="str">
        <f ca="1">IFERROR(__xludf.DUMMYFUNCTION("""COMPUTED_VALUE"""),"0992959909")</f>
        <v>0992959909</v>
      </c>
      <c r="F105" s="1" t="str">
        <f ca="1">IFERROR(__xludf.DUMMYFUNCTION("""COMPUTED_VALUE"""),"37/2 วชิรธรรมสาธิต 51")</f>
        <v>37/2 วชิรธรรมสาธิต 51</v>
      </c>
      <c r="G105" s="1" t="str">
        <f ca="1">IFERROR(__xludf.DUMMYFUNCTION("""COMPUTED_VALUE"""),"นำจ่ายใหม่")</f>
        <v>นำจ่ายใหม่</v>
      </c>
      <c r="H105" s="1" t="str">
        <f ca="1">IFERROR(__xludf.DUMMYFUNCTION("""COMPUTED_VALUE"""),"ปิดออกใบแจ้ง")</f>
        <v>ปิดออกใบแจ้ง</v>
      </c>
      <c r="I105" s="1" t="str">
        <f ca="1">IFERROR(__xludf.DUMMYFUNCTION("""COMPUTED_VALUE"""),"แจ้งเจ้าหน้าที่นำจ่ายแล้ว")</f>
        <v>แจ้งเจ้าหน้าที่นำจ่ายแล้ว</v>
      </c>
      <c r="J105" s="1" t="str">
        <f ca="1">IFERROR(__xludf.DUMMYFUNCTION("""COMPUTED_VALUE"""),"นำจ่ายรถยนต์")</f>
        <v>นำจ่ายรถยนต์</v>
      </c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15.75" customHeight="1" x14ac:dyDescent="0.2">
      <c r="A106" s="7">
        <f ca="1">IFERROR(__xludf.DUMMYFUNCTION("""COMPUTED_VALUE"""),45250.4706790046)</f>
        <v>45250.470679004597</v>
      </c>
      <c r="B106" s="1" t="str">
        <f ca="1">IFERROR(__xludf.DUMMYFUNCTION("""COMPUTED_VALUE"""),"CEC")</f>
        <v>CEC</v>
      </c>
      <c r="C106" s="1" t="str">
        <f ca="1">IFERROR(__xludf.DUMMYFUNCTION("""COMPUTED_VALUE"""),"ea866666670th")</f>
        <v>ea866666670th</v>
      </c>
      <c r="D106" s="1" t="str">
        <f ca="1">IFERROR(__xludf.DUMMYFUNCTION("""COMPUTED_VALUE"""),"บ. ทีพีเอส")</f>
        <v>บ. ทีพีเอส</v>
      </c>
      <c r="E106" s="1" t="str">
        <f ca="1">IFERROR(__xludf.DUMMYFUNCTION("""COMPUTED_VALUE"""),"0874496071")</f>
        <v>0874496071</v>
      </c>
      <c r="F106" s="1" t="str">
        <f ca="1">IFERROR(__xludf.DUMMYFUNCTION("""COMPUTED_VALUE"""),"23.ซ.สุขุมวิทย์  64")</f>
        <v>23.ซ.สุขุมวิทย์  64</v>
      </c>
      <c r="G106" s="1" t="str">
        <f ca="1">IFERROR(__xludf.DUMMYFUNCTION("""COMPUTED_VALUE"""),"นำจ่ายใหม่")</f>
        <v>นำจ่ายใหม่</v>
      </c>
      <c r="H106" s="1" t="str">
        <f ca="1">IFERROR(__xludf.DUMMYFUNCTION("""COMPUTED_VALUE"""),"เป็น  cod")</f>
        <v>เป็น  cod</v>
      </c>
      <c r="I106" s="1" t="str">
        <f ca="1">IFERROR(__xludf.DUMMYFUNCTION("""COMPUTED_VALUE"""),"แจ้งเจ้าหน้าที่นำจ่ายแล้ว")</f>
        <v>แจ้งเจ้าหน้าที่นำจ่ายแล้ว</v>
      </c>
      <c r="J106" s="1" t="str">
        <f ca="1">IFERROR(__xludf.DUMMYFUNCTION("""COMPUTED_VALUE"""),"DB4")</f>
        <v>DB4</v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15.75" customHeight="1" x14ac:dyDescent="0.2">
      <c r="A107" s="7">
        <f ca="1">IFERROR(__xludf.DUMMYFUNCTION("""COMPUTED_VALUE"""),45250.4711070601)</f>
        <v>45250.471107060097</v>
      </c>
      <c r="B107" s="1" t="str">
        <f ca="1">IFERROR(__xludf.DUMMYFUNCTION("""COMPUTED_VALUE"""),"CEC")</f>
        <v>CEC</v>
      </c>
      <c r="C107" s="1" t="str">
        <f ca="1">IFERROR(__xludf.DUMMYFUNCTION("""COMPUTED_VALUE"""),"ea865809774th")</f>
        <v>ea865809774th</v>
      </c>
      <c r="D107" s="1" t="str">
        <f ca="1">IFERROR(__xludf.DUMMYFUNCTION("""COMPUTED_VALUE"""),"สายชล (COD.250 บาท)")</f>
        <v>สายชล (COD.250 บาท)</v>
      </c>
      <c r="E107" s="1" t="str">
        <f ca="1">IFERROR(__xludf.DUMMYFUNCTION("""COMPUTED_VALUE"""),"086-0989485")</f>
        <v>086-0989485</v>
      </c>
      <c r="F107" s="1" t="str">
        <f ca="1">IFERROR(__xludf.DUMMYFUNCTION("""COMPUTED_VALUE"""),"20 บ.คอสโม ฯ ซ.สุขุมวิท 97-97/1")</f>
        <v>20 บ.คอสโม ฯ ซ.สุขุมวิท 97-97/1</v>
      </c>
      <c r="G107" s="1" t="str">
        <f ca="1">IFERROR(__xludf.DUMMYFUNCTION("""COMPUTED_VALUE"""),"นำจ่ายใหม่")</f>
        <v>นำจ่ายใหม่</v>
      </c>
      <c r="H107" s="1" t="str">
        <f ca="1">IFERROR(__xludf.DUMMYFUNCTION("""COMPUTED_VALUE"""),"-")</f>
        <v>-</v>
      </c>
      <c r="I107" s="1" t="str">
        <f ca="1">IFERROR(__xludf.DUMMYFUNCTION("""COMPUTED_VALUE"""),"-")</f>
        <v>-</v>
      </c>
      <c r="J107" s="1" t="str">
        <f ca="1">IFERROR(__xludf.DUMMYFUNCTION("""COMPUTED_VALUE"""),"DB3")</f>
        <v>DB3</v>
      </c>
      <c r="K107" s="1" t="str">
        <f ca="1">IFERROR(__xludf.DUMMYFUNCTION("""COMPUTED_VALUE"""),"EMS10260EVD3013")</f>
        <v>EMS10260EVD3013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15.75" customHeight="1" x14ac:dyDescent="0.2">
      <c r="A108" s="7">
        <f ca="1">IFERROR(__xludf.DUMMYFUNCTION("""COMPUTED_VALUE"""),45250.4743144444)</f>
        <v>45250.4743144444</v>
      </c>
      <c r="B108" s="1" t="str">
        <f ca="1">IFERROR(__xludf.DUMMYFUNCTION("""COMPUTED_VALUE"""),"On Queue")</f>
        <v>On Queue</v>
      </c>
      <c r="C108" s="1" t="str">
        <f ca="1">IFERROR(__xludf.DUMMYFUNCTION("""COMPUTED_VALUE"""),"ef201232995th")</f>
        <v>ef201232995th</v>
      </c>
      <c r="D108" s="1" t="str">
        <f ca="1">IFERROR(__xludf.DUMMYFUNCTION("""COMPUTED_VALUE"""),"วรกันยา (COD.590 บาท)")</f>
        <v>วรกันยา (COD.590 บาท)</v>
      </c>
      <c r="E108" s="1" t="str">
        <f ca="1">IFERROR(__xludf.DUMMYFUNCTION("""COMPUTED_VALUE"""),"087-6323542")</f>
        <v>087-6323542</v>
      </c>
      <c r="F108" s="1" t="str">
        <f ca="1">IFERROR(__xludf.DUMMYFUNCTION("""COMPUTED_VALUE"""),"5 ซอย.ประวิทย์และเพื่อน 12 สุขุมวิท 101/1")</f>
        <v>5 ซอย.ประวิทย์และเพื่อน 12 สุขุมวิท 101/1</v>
      </c>
      <c r="G108" s="1" t="str">
        <f ca="1">IFERROR(__xludf.DUMMYFUNCTION("""COMPUTED_VALUE"""),"นำจ่ายใหม่")</f>
        <v>นำจ่ายใหม่</v>
      </c>
      <c r="H108" s="1" t="str">
        <f ca="1">IFERROR(__xludf.DUMMYFUNCTION("""COMPUTED_VALUE"""),"-")</f>
        <v>-</v>
      </c>
      <c r="I108" s="1" t="str">
        <f ca="1">IFERROR(__xludf.DUMMYFUNCTION("""COMPUTED_VALUE"""),"-")</f>
        <v>-</v>
      </c>
      <c r="J108" s="1" t="str">
        <f ca="1">IFERROR(__xludf.DUMMYFUNCTION("""COMPUTED_VALUE"""),"DB3")</f>
        <v>DB3</v>
      </c>
      <c r="K108" s="1" t="str">
        <f ca="1">IFERROR(__xludf.DUMMYFUNCTION("""COMPUTED_VALUE"""),"EMS10260EVD3028")</f>
        <v>EMS10260EVD3028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15.75" customHeight="1" x14ac:dyDescent="0.2">
      <c r="A109" s="7">
        <f ca="1">IFERROR(__xludf.DUMMYFUNCTION("""COMPUTED_VALUE"""),45250.5007863541)</f>
        <v>45250.500786354103</v>
      </c>
      <c r="B109" s="1" t="str">
        <f ca="1">IFERROR(__xludf.DUMMYFUNCTION("""COMPUTED_VALUE"""),"CEC")</f>
        <v>CEC</v>
      </c>
      <c r="C109" s="1" t="str">
        <f ca="1">IFERROR(__xludf.DUMMYFUNCTION("""COMPUTED_VALUE"""),"eb997747654th")</f>
        <v>eb997747654th</v>
      </c>
      <c r="D109" s="1" t="str">
        <f ca="1">IFERROR(__xludf.DUMMYFUNCTION("""COMPUTED_VALUE"""),"ณัฐนิชา")</f>
        <v>ณัฐนิชา</v>
      </c>
      <c r="E109" s="1" t="str">
        <f ca="1">IFERROR(__xludf.DUMMYFUNCTION("""COMPUTED_VALUE"""),"080-8835027")</f>
        <v>080-8835027</v>
      </c>
      <c r="F109" s="1" t="str">
        <f ca="1">IFERROR(__xludf.DUMMYFUNCTION("""COMPUTED_VALUE"""),"112/695 แฟลตการเคหะบางนา ")</f>
        <v xml:space="preserve">112/695 แฟลตการเคหะบางนา </v>
      </c>
      <c r="G109" s="1" t="str">
        <f ca="1">IFERROR(__xludf.DUMMYFUNCTION("""COMPUTED_VALUE"""),"นำจ่ายใหม่")</f>
        <v>นำจ่ายใหม่</v>
      </c>
      <c r="H109" s="1" t="str">
        <f ca="1">IFERROR(__xludf.DUMMYFUNCTION("""COMPUTED_VALUE"""),"-")</f>
        <v>-</v>
      </c>
      <c r="I109" s="1" t="str">
        <f ca="1">IFERROR(__xludf.DUMMYFUNCTION("""COMPUTED_VALUE"""),"-")</f>
        <v>-</v>
      </c>
      <c r="J109" s="1" t="str">
        <f ca="1">IFERROR(__xludf.DUMMYFUNCTION("""COMPUTED_VALUE"""),"นำจ่ายรถยนต์")</f>
        <v>นำจ่ายรถยนต์</v>
      </c>
      <c r="K109" s="1" t="str">
        <f ca="1">IFERROR(__xludf.DUMMYFUNCTION("""COMPUTED_VALUE"""),"CAR10260EVD5007")</f>
        <v>CAR10260EVD5007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15.75" customHeight="1" x14ac:dyDescent="0.2">
      <c r="A110" s="7">
        <f ca="1">IFERROR(__xludf.DUMMYFUNCTION("""COMPUTED_VALUE"""),45250.5096633912)</f>
        <v>45250.509663391204</v>
      </c>
      <c r="B110" s="1" t="str">
        <f ca="1">IFERROR(__xludf.DUMMYFUNCTION("""COMPUTED_VALUE"""),"CEC")</f>
        <v>CEC</v>
      </c>
      <c r="C110" s="1" t="str">
        <f ca="1">IFERROR(__xludf.DUMMYFUNCTION("""COMPUTED_VALUE"""),"rk151193807th")</f>
        <v>rk151193807th</v>
      </c>
      <c r="D110" s="1" t="str">
        <f ca="1">IFERROR(__xludf.DUMMYFUNCTION("""COMPUTED_VALUE"""),"[บ.ลีโอวู๊ด 400 ถ.สรรพาวูธ")</f>
        <v>[บ.ลีโอวู๊ด 400 ถ.สรรพาวูธ</v>
      </c>
      <c r="E110" s="1" t="str">
        <f ca="1">IFERROR(__xludf.DUMMYFUNCTION("""COMPUTED_VALUE"""),"0914718777")</f>
        <v>0914718777</v>
      </c>
      <c r="F110" s="1" t="str">
        <f ca="1">IFERROR(__xludf.DUMMYFUNCTION("""COMPUTED_VALUE"""),"[บ.ลีโอวู๊ด 400 ถ.สรรพาวูธ")</f>
        <v>[บ.ลีโอวู๊ด 400 ถ.สรรพาวูธ</v>
      </c>
      <c r="G110" s="1" t="str">
        <f ca="1">IFERROR(__xludf.DUMMYFUNCTION("""COMPUTED_VALUE"""),"ตรวจสอบการนำจ่าย")</f>
        <v>ตรวจสอบการนำจ่าย</v>
      </c>
      <c r="H110" s="1" t="str">
        <f ca="1">IFERROR(__xludf.DUMMYFUNCTION("""COMPUTED_VALUE"""),"ผู้รับไม่ได้สิ่ของ")</f>
        <v>ผู้รับไม่ได้สิ่ของ</v>
      </c>
      <c r="I110" s="1" t="str">
        <f ca="1">IFERROR(__xludf.DUMMYFUNCTION("""COMPUTED_VALUE"""),"แจ้งเจ้าหน้าที่นำจ่ายแล้ว")</f>
        <v>แจ้งเจ้าหน้าที่นำจ่ายแล้ว</v>
      </c>
      <c r="J110" s="1" t="str">
        <f ca="1">IFERROR(__xludf.DUMMYFUNCTION("""COMPUTED_VALUE"""),"DB1")</f>
        <v>DB1</v>
      </c>
      <c r="K110" s="1" t="str">
        <f ca="1">IFERROR(__xludf.DUMMYFUNCTION("""COMPUTED_VALUE"""),"GEN07261EVD0106")</f>
        <v>GEN07261EVD0106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15.75" customHeight="1" x14ac:dyDescent="0.2">
      <c r="A111" s="7">
        <f ca="1">IFERROR(__xludf.DUMMYFUNCTION("""COMPUTED_VALUE"""),45250.5180322916)</f>
        <v>45250.518032291599</v>
      </c>
      <c r="B111" s="1" t="str">
        <f ca="1">IFERROR(__xludf.DUMMYFUNCTION("""COMPUTED_VALUE"""),"CEC")</f>
        <v>CEC</v>
      </c>
      <c r="C111" s="1" t="str">
        <f ca="1">IFERROR(__xludf.DUMMYFUNCTION("""COMPUTED_VALUE"""),"eb523673233th")</f>
        <v>eb523673233th</v>
      </c>
      <c r="D111" s="1" t="str">
        <f ca="1">IFERROR(__xludf.DUMMYFUNCTION("""COMPUTED_VALUE"""),"จตุรภัทร ")</f>
        <v xml:space="preserve">จตุรภัทร </v>
      </c>
      <c r="E111" s="1" t="str">
        <f ca="1">IFERROR(__xludf.DUMMYFUNCTION("""COMPUTED_VALUE"""),"095-5157192")</f>
        <v>095-5157192</v>
      </c>
      <c r="F111" s="1" t="str">
        <f ca="1">IFERROR(__xludf.DUMMYFUNCTION("""COMPUTED_VALUE"""),"2154/45 บ.สตาร์ไรส์ บ้านเรืองศิริ สุขุมวิท")</f>
        <v>2154/45 บ.สตาร์ไรส์ บ้านเรืองศิริ สุขุมวิท</v>
      </c>
      <c r="G111" s="1" t="str">
        <f ca="1">IFERROR(__xludf.DUMMYFUNCTION("""COMPUTED_VALUE"""),"นำจ่ายใหม่")</f>
        <v>นำจ่ายใหม่</v>
      </c>
      <c r="H111" s="1" t="str">
        <f ca="1">IFERROR(__xludf.DUMMYFUNCTION("""COMPUTED_VALUE"""),"-")</f>
        <v>-</v>
      </c>
      <c r="I111" s="1" t="str">
        <f ca="1">IFERROR(__xludf.DUMMYFUNCTION("""COMPUTED_VALUE"""),"-")</f>
        <v>-</v>
      </c>
      <c r="J111" s="1" t="str">
        <f ca="1">IFERROR(__xludf.DUMMYFUNCTION("""COMPUTED_VALUE"""),"DB4")</f>
        <v>DB4</v>
      </c>
      <c r="K111" s="1" t="str">
        <f ca="1">IFERROR(__xludf.DUMMYFUNCTION("""COMPUTED_VALUE"""),"EMS10260EVD4003")</f>
        <v>EMS10260EVD4003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15.75" customHeight="1" x14ac:dyDescent="0.2">
      <c r="A112" s="7">
        <f ca="1">IFERROR(__xludf.DUMMYFUNCTION("""COMPUTED_VALUE"""),45250.5213173032)</f>
        <v>45250.521317303203</v>
      </c>
      <c r="B112" s="1" t="str">
        <f ca="1">IFERROR(__xludf.DUMMYFUNCTION("""COMPUTED_VALUE"""),"CEC")</f>
        <v>CEC</v>
      </c>
      <c r="C112" s="1" t="str">
        <f ca="1">IFERROR(__xludf.DUMMYFUNCTION("""COMPUTED_VALUE"""),"ed963326578th")</f>
        <v>ed963326578th</v>
      </c>
      <c r="D112" s="1" t="str">
        <f ca="1">IFERROR(__xludf.DUMMYFUNCTION("""COMPUTED_VALUE"""),"-")</f>
        <v>-</v>
      </c>
      <c r="E112" s="1" t="str">
        <f ca="1">IFERROR(__xludf.DUMMYFUNCTION("""COMPUTED_VALUE"""),"061-0723339")</f>
        <v>061-0723339</v>
      </c>
      <c r="F112" s="1" t="str">
        <f ca="1">IFERROR(__xludf.DUMMYFUNCTION("""COMPUTED_VALUE"""),"2535 บ.ดี เค เอส เอช สุขุมวิท")</f>
        <v>2535 บ.ดี เค เอส เอช สุขุมวิท</v>
      </c>
      <c r="G112" s="1" t="str">
        <f ca="1">IFERROR(__xludf.DUMMYFUNCTION("""COMPUTED_VALUE"""),"ตรวจสอบการนำจ่าย")</f>
        <v>ตรวจสอบการนำจ่าย</v>
      </c>
      <c r="H112" s="1" t="str">
        <f ca="1">IFERROR(__xludf.DUMMYFUNCTION("""COMPUTED_VALUE"""),"-")</f>
        <v>-</v>
      </c>
      <c r="I112" s="1" t="str">
        <f ca="1">IFERROR(__xludf.DUMMYFUNCTION("""COMPUTED_VALUE"""),"-")</f>
        <v>-</v>
      </c>
      <c r="J112" s="1" t="str">
        <f ca="1">IFERROR(__xludf.DUMMYFUNCTION("""COMPUTED_VALUE"""),"นำจ่ายรถยนต์")</f>
        <v>นำจ่ายรถยนต์</v>
      </c>
      <c r="K112" s="1" t="str">
        <f ca="1">IFERROR(__xludf.DUMMYFUNCTION("""COMPUTED_VALUE"""),"CAR10260EVD5012")</f>
        <v>CAR10260EVD5012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15.75" customHeight="1" x14ac:dyDescent="0.2">
      <c r="A113" s="7">
        <f ca="1">IFERROR(__xludf.DUMMYFUNCTION("""COMPUTED_VALUE"""),45250.5223244097)</f>
        <v>45250.5223244097</v>
      </c>
      <c r="B113" s="1" t="str">
        <f ca="1">IFERROR(__xludf.DUMMYFUNCTION("""COMPUTED_VALUE"""),"CEC")</f>
        <v>CEC</v>
      </c>
      <c r="C113" s="1" t="str">
        <f ca="1">IFERROR(__xludf.DUMMYFUNCTION("""COMPUTED_VALUE"""),"ed944435938th")</f>
        <v>ed944435938th</v>
      </c>
      <c r="D113" s="1" t="str">
        <f ca="1">IFERROR(__xludf.DUMMYFUNCTION("""COMPUTED_VALUE"""),"รัตนา")</f>
        <v>รัตนา</v>
      </c>
      <c r="E113" s="1" t="str">
        <f ca="1">IFERROR(__xludf.DUMMYFUNCTION("""COMPUTED_VALUE"""),"092-0814277")</f>
        <v>092-0814277</v>
      </c>
      <c r="F113" s="1" t="str">
        <f ca="1">IFERROR(__xludf.DUMMYFUNCTION("""COMPUTED_VALUE"""),"121/36 แฟลตทหารเรือ 16 สรรพาวุธ")</f>
        <v>121/36 แฟลตทหารเรือ 16 สรรพาวุธ</v>
      </c>
      <c r="G113" s="1" t="str">
        <f ca="1">IFERROR(__xludf.DUMMYFUNCTION("""COMPUTED_VALUE"""),"ตรวจสอบการนำจ่าย")</f>
        <v>ตรวจสอบการนำจ่าย</v>
      </c>
      <c r="H113" s="1" t="str">
        <f ca="1">IFERROR(__xludf.DUMMYFUNCTION("""COMPUTED_VALUE"""),"-")</f>
        <v>-</v>
      </c>
      <c r="I113" s="1" t="str">
        <f ca="1">IFERROR(__xludf.DUMMYFUNCTION("""COMPUTED_VALUE"""),"-")</f>
        <v>-</v>
      </c>
      <c r="J113" s="1" t="str">
        <f ca="1">IFERROR(__xludf.DUMMYFUNCTION("""COMPUTED_VALUE"""),"นำจ่ายรถยนต์")</f>
        <v>นำจ่ายรถยนต์</v>
      </c>
      <c r="K113" s="1" t="str">
        <f ca="1">IFERROR(__xludf.DUMMYFUNCTION("""COMPUTED_VALUE"""),"CAR10260EVD5004")</f>
        <v>CAR10260EVD5004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15.75" customHeight="1" x14ac:dyDescent="0.2">
      <c r="A114" s="7">
        <f ca="1">IFERROR(__xludf.DUMMYFUNCTION("""COMPUTED_VALUE"""),45250.5289657638)</f>
        <v>45250.528965763799</v>
      </c>
      <c r="B114" s="1" t="str">
        <f ca="1">IFERROR(__xludf.DUMMYFUNCTION("""COMPUTED_VALUE"""),"CEC")</f>
        <v>CEC</v>
      </c>
      <c r="C114" s="1" t="str">
        <f ca="1">IFERROR(__xludf.DUMMYFUNCTION("""COMPUTED_VALUE"""),"eo327984584th")</f>
        <v>eo327984584th</v>
      </c>
      <c r="D114" s="1" t="str">
        <f ca="1">IFERROR(__xludf.DUMMYFUNCTION("""COMPUTED_VALUE"""),"ปุณณเมธ")</f>
        <v>ปุณณเมธ</v>
      </c>
      <c r="E114" s="1" t="str">
        <f ca="1">IFERROR(__xludf.DUMMYFUNCTION("""COMPUTED_VALUE"""),"085-0224181")</f>
        <v>085-0224181</v>
      </c>
      <c r="F114" s="1" t="str">
        <f ca="1">IFERROR(__xludf.DUMMYFUNCTION("""COMPUTED_VALUE"""),"95 ถนน.บางนา ตราด 38 บางนาใต้")</f>
        <v>95 ถนน.บางนา ตราด 38 บางนาใต้</v>
      </c>
      <c r="G114" s="1" t="str">
        <f ca="1">IFERROR(__xludf.DUMMYFUNCTION("""COMPUTED_VALUE"""),"ตรวจสอบการนำจ่าย")</f>
        <v>ตรวจสอบการนำจ่าย</v>
      </c>
      <c r="H114" s="1" t="str">
        <f ca="1">IFERROR(__xludf.DUMMYFUNCTION("""COMPUTED_VALUE"""),"พาสสปอร์ต")</f>
        <v>พาสสปอร์ต</v>
      </c>
      <c r="I114" s="1" t="str">
        <f ca="1">IFERROR(__xludf.DUMMYFUNCTION("""COMPUTED_VALUE"""),"-")</f>
        <v>-</v>
      </c>
      <c r="J114" s="1" t="str">
        <f ca="1">IFERROR(__xludf.DUMMYFUNCTION("""COMPUTED_VALUE"""),"DB1")</f>
        <v>DB1</v>
      </c>
      <c r="K114" s="1" t="str">
        <f ca="1">IFERROR(__xludf.DUMMYFUNCTION("""COMPUTED_VALUE"""),"EMS10260EVD1032")</f>
        <v>EMS10260EVD1032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5.75" customHeight="1" x14ac:dyDescent="0.2">
      <c r="A115" s="7">
        <f ca="1">IFERROR(__xludf.DUMMYFUNCTION("""COMPUTED_VALUE"""),45250.6005777546)</f>
        <v>45250.600577754602</v>
      </c>
      <c r="B115" s="1" t="str">
        <f ca="1">IFERROR(__xludf.DUMMYFUNCTION("""COMPUTED_VALUE"""),"CEC")</f>
        <v>CEC</v>
      </c>
      <c r="C115" s="1" t="str">
        <f ca="1">IFERROR(__xludf.DUMMYFUNCTION("""COMPUTED_VALUE"""),"ej540057435th")</f>
        <v>ej540057435th</v>
      </c>
      <c r="D115" s="1" t="str">
        <f ca="1">IFERROR(__xludf.DUMMYFUNCTION("""COMPUTED_VALUE"""),"ชวิศ")</f>
        <v>ชวิศ</v>
      </c>
      <c r="E115" s="1" t="str">
        <f ca="1">IFERROR(__xludf.DUMMYFUNCTION("""COMPUTED_VALUE"""),"063-5164779")</f>
        <v>063-5164779</v>
      </c>
      <c r="F115" s="1" t="str">
        <f ca="1">IFERROR(__xludf.DUMMYFUNCTION("""COMPUTED_VALUE"""),"818/311 คอนโดดิออริจิ้น ซ.สุขุมวิท 105")</f>
        <v>818/311 คอนโดดิออริจิ้น ซ.สุขุมวิท 105</v>
      </c>
      <c r="G115" s="1" t="str">
        <f ca="1">IFERROR(__xludf.DUMMYFUNCTION("""COMPUTED_VALUE"""),"ตรวจสอบการนำจ่าย")</f>
        <v>ตรวจสอบการนำจ่าย</v>
      </c>
      <c r="H115" s="1" t="str">
        <f ca="1">IFERROR(__xludf.DUMMYFUNCTION("""COMPUTED_VALUE"""),"-")</f>
        <v>-</v>
      </c>
      <c r="I115" s="1" t="str">
        <f ca="1">IFERROR(__xludf.DUMMYFUNCTION("""COMPUTED_VALUE"""),"-")</f>
        <v>-</v>
      </c>
      <c r="J115" s="1" t="str">
        <f ca="1">IFERROR(__xludf.DUMMYFUNCTION("""COMPUTED_VALUE"""),"นำจ่ายรถยนต์")</f>
        <v>นำจ่ายรถยนต์</v>
      </c>
      <c r="K115" s="1" t="str">
        <f ca="1">IFERROR(__xludf.DUMMYFUNCTION("""COMPUTED_VALUE"""),"CAR10260EVD5005")</f>
        <v>CAR10260EVD5005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5.75" customHeight="1" x14ac:dyDescent="0.2">
      <c r="A116" s="7">
        <f ca="1">IFERROR(__xludf.DUMMYFUNCTION("""COMPUTED_VALUE"""),45250.6165548958)</f>
        <v>45250.616554895802</v>
      </c>
      <c r="B116" s="1" t="str">
        <f ca="1">IFERROR(__xludf.DUMMYFUNCTION("""COMPUTED_VALUE"""),"On Queue")</f>
        <v>On Queue</v>
      </c>
      <c r="C116" s="1" t="str">
        <f ca="1">IFERROR(__xludf.DUMMYFUNCTION("""COMPUTED_VALUE"""),"ef195436706th")</f>
        <v>ef195436706th</v>
      </c>
      <c r="D116" s="1" t="str">
        <f ca="1">IFERROR(__xludf.DUMMYFUNCTION("""COMPUTED_VALUE"""),"อรสา")</f>
        <v>อรสา</v>
      </c>
      <c r="E116" s="1" t="str">
        <f ca="1">IFERROR(__xludf.DUMMYFUNCTION("""COMPUTED_VALUE"""),"087-0923993")</f>
        <v>087-0923993</v>
      </c>
      <c r="F116" s="1" t="str">
        <f ca="1">IFERROR(__xludf.DUMMYFUNCTION("""COMPUTED_VALUE"""),"206/13 ซอย.ร่มโพธิ์ สรรพาวุธ บางนา")</f>
        <v>206/13 ซอย.ร่มโพธิ์ สรรพาวุธ บางนา</v>
      </c>
      <c r="G116" s="1" t="str">
        <f ca="1">IFERROR(__xludf.DUMMYFUNCTION("""COMPUTED_VALUE"""),"ตรวจสอบการนำจ่าย")</f>
        <v>ตรวจสอบการนำจ่าย</v>
      </c>
      <c r="H116" s="1" t="str">
        <f ca="1">IFERROR(__xludf.DUMMYFUNCTION("""COMPUTED_VALUE"""),"-")</f>
        <v>-</v>
      </c>
      <c r="I116" s="1" t="str">
        <f ca="1">IFERROR(__xludf.DUMMYFUNCTION("""COMPUTED_VALUE"""),"-")</f>
        <v>-</v>
      </c>
      <c r="J116" s="1" t="str">
        <f ca="1">IFERROR(__xludf.DUMMYFUNCTION("""COMPUTED_VALUE"""),"DB1")</f>
        <v>DB1</v>
      </c>
      <c r="K116" s="1" t="str">
        <f ca="1">IFERROR(__xludf.DUMMYFUNCTION("""COMPUTED_VALUE"""),"EMS10260EVD1003")</f>
        <v>EMS10260EVD1003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15.75" customHeight="1" x14ac:dyDescent="0.2">
      <c r="A117" s="7">
        <f ca="1">IFERROR(__xludf.DUMMYFUNCTION("""COMPUTED_VALUE"""),45250.6183371643)</f>
        <v>45250.618337164298</v>
      </c>
      <c r="B117" s="1" t="str">
        <f ca="1">IFERROR(__xludf.DUMMYFUNCTION("""COMPUTED_VALUE"""),"CEC")</f>
        <v>CEC</v>
      </c>
      <c r="C117" s="1" t="str">
        <f ca="1">IFERROR(__xludf.DUMMYFUNCTION("""COMPUTED_VALUE"""),"re764062761th")</f>
        <v>re764062761th</v>
      </c>
      <c r="D117" s="1" t="str">
        <f ca="1">IFERROR(__xludf.DUMMYFUNCTION("""COMPUTED_VALUE"""),"วิชิต")</f>
        <v>วิชิต</v>
      </c>
      <c r="E117" s="1" t="str">
        <f ca="1">IFERROR(__xludf.DUMMYFUNCTION("""COMPUTED_VALUE"""),"084-9015427")</f>
        <v>084-9015427</v>
      </c>
      <c r="F117" s="1" t="str">
        <f ca="1">IFERROR(__xludf.DUMMYFUNCTION("""COMPUTED_VALUE"""),"423/14 คอนโดนิรันทร์ ซ.พึ่งมี50 สุขุมวิท93")</f>
        <v>423/14 คอนโดนิรันทร์ ซ.พึ่งมี50 สุขุมวิท93</v>
      </c>
      <c r="G117" s="1" t="str">
        <f ca="1">IFERROR(__xludf.DUMMYFUNCTION("""COMPUTED_VALUE"""),"ตรวจสอบการนำจ่าย")</f>
        <v>ตรวจสอบการนำจ่าย</v>
      </c>
      <c r="H117" s="1" t="str">
        <f ca="1">IFERROR(__xludf.DUMMYFUNCTION("""COMPUTED_VALUE"""),"-")</f>
        <v>-</v>
      </c>
      <c r="I117" s="1" t="str">
        <f ca="1">IFERROR(__xludf.DUMMYFUNCTION("""COMPUTED_VALUE"""),"-")</f>
        <v>-</v>
      </c>
      <c r="J117" s="1" t="str">
        <f ca="1">IFERROR(__xludf.DUMMYFUNCTION("""COMPUTED_VALUE"""),"นำจ่ายรถยนต์")</f>
        <v>นำจ่ายรถยนต์</v>
      </c>
      <c r="K117" s="1" t="str">
        <f ca="1">IFERROR(__xludf.DUMMYFUNCTION("""COMPUTED_VALUE"""),"CAR10260EVD5013")</f>
        <v>CAR10260EVD5013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15.75" customHeight="1" x14ac:dyDescent="0.2">
      <c r="A118" s="7">
        <f ca="1">IFERROR(__xludf.DUMMYFUNCTION("""COMPUTED_VALUE"""),45250.6298077893)</f>
        <v>45250.629807789301</v>
      </c>
      <c r="B118" s="1" t="str">
        <f ca="1">IFERROR(__xludf.DUMMYFUNCTION("""COMPUTED_VALUE"""),"CEC")</f>
        <v>CEC</v>
      </c>
      <c r="C118" s="1" t="str">
        <f ca="1">IFERROR(__xludf.DUMMYFUNCTION("""COMPUTED_VALUE"""),"em163479492th")</f>
        <v>em163479492th</v>
      </c>
      <c r="D118" s="1" t="str">
        <f ca="1">IFERROR(__xludf.DUMMYFUNCTION("""COMPUTED_VALUE"""),"-")</f>
        <v>-</v>
      </c>
      <c r="E118" s="1" t="str">
        <f ca="1">IFERROR(__xludf.DUMMYFUNCTION("""COMPUTED_VALUE"""),"062-3828648")</f>
        <v>062-3828648</v>
      </c>
      <c r="F118" s="1" t="str">
        <f ca="1">IFERROR(__xludf.DUMMYFUNCTION("""COMPUTED_VALUE"""),"แคมป์วิศภัทร ซ.พึ่งมี 7 สุขุมวิท 93")</f>
        <v>แคมป์วิศภัทร ซ.พึ่งมี 7 สุขุมวิท 93</v>
      </c>
      <c r="G118" s="1" t="str">
        <f ca="1">IFERROR(__xludf.DUMMYFUNCTION("""COMPUTED_VALUE"""),"ตรวจสอบการนำจ่าย")</f>
        <v>ตรวจสอบการนำจ่าย</v>
      </c>
      <c r="H118" s="1" t="str">
        <f ca="1">IFERROR(__xludf.DUMMYFUNCTION("""COMPUTED_VALUE"""),"-")</f>
        <v>-</v>
      </c>
      <c r="I118" s="1" t="str">
        <f ca="1">IFERROR(__xludf.DUMMYFUNCTION("""COMPUTED_VALUE"""),"-")</f>
        <v>-</v>
      </c>
      <c r="J118" s="1" t="str">
        <f ca="1">IFERROR(__xludf.DUMMYFUNCTION("""COMPUTED_VALUE"""),"DB3")</f>
        <v>DB3</v>
      </c>
      <c r="K118" s="1" t="str">
        <f ca="1">IFERROR(__xludf.DUMMYFUNCTION("""COMPUTED_VALUE"""),"EMS10260EVD3001")</f>
        <v>EMS10260EVD3001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15.75" customHeight="1" x14ac:dyDescent="0.2">
      <c r="A119" s="7">
        <f ca="1">IFERROR(__xludf.DUMMYFUNCTION("""COMPUTED_VALUE"""),45250.6317792361)</f>
        <v>45250.631779236101</v>
      </c>
      <c r="B119" s="1" t="str">
        <f ca="1">IFERROR(__xludf.DUMMYFUNCTION("""COMPUTED_VALUE"""),"CEC")</f>
        <v>CEC</v>
      </c>
      <c r="C119" s="1" t="str">
        <f ca="1">IFERROR(__xludf.DUMMYFUNCTION("""COMPUTED_VALUE"""),"em1440545.35th")</f>
        <v>em1440545.35th</v>
      </c>
      <c r="D119" s="1" t="str">
        <f ca="1">IFERROR(__xludf.DUMMYFUNCTION("""COMPUTED_VALUE"""),"aungminthu")</f>
        <v>aungminthu</v>
      </c>
      <c r="E119" s="1" t="str">
        <f ca="1">IFERROR(__xludf.DUMMYFUNCTION("""COMPUTED_VALUE"""),"065-6765577 (นิติ)")</f>
        <v>065-6765577 (นิติ)</v>
      </c>
      <c r="F119" s="1" t="str">
        <f ca="1">IFERROR(__xludf.DUMMYFUNCTION("""COMPUTED_VALUE"""),"9/492 คอนโดไอดิโอมิกซ์ สุขุมวิท103")</f>
        <v>9/492 คอนโดไอดิโอมิกซ์ สุขุมวิท103</v>
      </c>
      <c r="G119" s="1" t="str">
        <f ca="1">IFERROR(__xludf.DUMMYFUNCTION("""COMPUTED_VALUE"""),"ตรวจสอบการนำจ่าย")</f>
        <v>ตรวจสอบการนำจ่าย</v>
      </c>
      <c r="H119" s="1" t="str">
        <f ca="1">IFERROR(__xludf.DUMMYFUNCTION("""COMPUTED_VALUE"""),"-")</f>
        <v>-</v>
      </c>
      <c r="I119" s="1" t="str">
        <f ca="1">IFERROR(__xludf.DUMMYFUNCTION("""COMPUTED_VALUE"""),"-")</f>
        <v>-</v>
      </c>
      <c r="J119" s="1" t="str">
        <f ca="1">IFERROR(__xludf.DUMMYFUNCTION("""COMPUTED_VALUE"""),"นำจ่ายรถยนต์")</f>
        <v>นำจ่ายรถยนต์</v>
      </c>
      <c r="K119" s="1" t="str">
        <f ca="1">IFERROR(__xludf.DUMMYFUNCTION("""COMPUTED_VALUE"""),"CAR10260EVD5009")</f>
        <v>CAR10260EVD5009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15.75" customHeight="1" x14ac:dyDescent="0.2">
      <c r="A120" s="7">
        <f ca="1">IFERROR(__xludf.DUMMYFUNCTION("""COMPUTED_VALUE"""),45250.6329429745)</f>
        <v>45250.632942974502</v>
      </c>
      <c r="B120" s="1" t="str">
        <f ca="1">IFERROR(__xludf.DUMMYFUNCTION("""COMPUTED_VALUE"""),"CEC")</f>
        <v>CEC</v>
      </c>
      <c r="C120" s="1" t="str">
        <f ca="1">IFERROR(__xludf.DUMMYFUNCTION("""COMPUTED_VALUE"""),"ed927597768th")</f>
        <v>ed927597768th</v>
      </c>
      <c r="D120" s="1" t="str">
        <f ca="1">IFERROR(__xludf.DUMMYFUNCTION("""COMPUTED_VALUE"""),"มาริษา")</f>
        <v>มาริษา</v>
      </c>
      <c r="E120" s="1" t="str">
        <f ca="1">IFERROR(__xludf.DUMMYFUNCTION("""COMPUTED_VALUE"""),"089-6923130")</f>
        <v>089-6923130</v>
      </c>
      <c r="F120" s="1" t="str">
        <f ca="1">IFERROR(__xludf.DUMMYFUNCTION("""COMPUTED_VALUE"""),"8/189 คอนโดแซมเบอร์ส สุขุมวิท 81")</f>
        <v>8/189 คอนโดแซมเบอร์ส สุขุมวิท 81</v>
      </c>
      <c r="G120" s="1" t="str">
        <f ca="1">IFERROR(__xludf.DUMMYFUNCTION("""COMPUTED_VALUE"""),"ตรวจสอบการนำจ่าย")</f>
        <v>ตรวจสอบการนำจ่าย</v>
      </c>
      <c r="H120" s="1" t="str">
        <f ca="1">IFERROR(__xludf.DUMMYFUNCTION("""COMPUTED_VALUE"""),"-")</f>
        <v>-</v>
      </c>
      <c r="I120" s="1" t="str">
        <f ca="1">IFERROR(__xludf.DUMMYFUNCTION("""COMPUTED_VALUE"""),"-")</f>
        <v>-</v>
      </c>
      <c r="J120" s="1" t="str">
        <f ca="1">IFERROR(__xludf.DUMMYFUNCTION("""COMPUTED_VALUE"""),"DB3")</f>
        <v>DB3</v>
      </c>
      <c r="K120" s="1" t="str">
        <f ca="1">IFERROR(__xludf.DUMMYFUNCTION("""COMPUTED_VALUE"""),"EMS10260EVD3001")</f>
        <v>EMS10260EVD3001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15.75" customHeight="1" x14ac:dyDescent="0.2">
      <c r="A121" s="7">
        <f ca="1">IFERROR(__xludf.DUMMYFUNCTION("""COMPUTED_VALUE"""),45250.6802169328)</f>
        <v>45250.6802169328</v>
      </c>
      <c r="B121" s="1" t="str">
        <f ca="1">IFERROR(__xludf.DUMMYFUNCTION("""COMPUTED_VALUE"""),"CEC")</f>
        <v>CEC</v>
      </c>
      <c r="C121" s="1" t="str">
        <f ca="1">IFERROR(__xludf.DUMMYFUNCTION("""COMPUTED_VALUE"""),"ed979085353th")</f>
        <v>ed979085353th</v>
      </c>
      <c r="D121" s="1" t="str">
        <f ca="1">IFERROR(__xludf.DUMMYFUNCTION("""COMPUTED_VALUE"""),"-")</f>
        <v>-</v>
      </c>
      <c r="E121" s="1" t="str">
        <f ca="1">IFERROR(__xludf.DUMMYFUNCTION("""COMPUTED_VALUE"""),"02-7428000")</f>
        <v>02-7428000</v>
      </c>
      <c r="F121" s="1" t="str">
        <f ca="1">IFERROR(__xludf.DUMMYFUNCTION("""COMPUTED_VALUE"""),"1760 บ.เมโทแมชชินเนอร์รี สุขุมวิท")</f>
        <v>1760 บ.เมโทแมชชินเนอร์รี สุขุมวิท</v>
      </c>
      <c r="G121" s="1" t="str">
        <f ca="1">IFERROR(__xludf.DUMMYFUNCTION("""COMPUTED_VALUE"""),"ตรวจสอบการนำจ่าย")</f>
        <v>ตรวจสอบการนำจ่าย</v>
      </c>
      <c r="H121" s="1" t="str">
        <f ca="1">IFERROR(__xludf.DUMMYFUNCTION("""COMPUTED_VALUE"""),"-")</f>
        <v>-</v>
      </c>
      <c r="I121" s="1" t="str">
        <f ca="1">IFERROR(__xludf.DUMMYFUNCTION("""COMPUTED_VALUE"""),"-")</f>
        <v>-</v>
      </c>
      <c r="J121" s="1" t="str">
        <f ca="1">IFERROR(__xludf.DUMMYFUNCTION("""COMPUTED_VALUE"""),"นำจ่ายรถยนต์")</f>
        <v>นำจ่ายรถยนต์</v>
      </c>
      <c r="K121" s="1" t="str">
        <f ca="1">IFERROR(__xludf.DUMMYFUNCTION("""COMPUTED_VALUE"""),"CAR10260EVD5002")</f>
        <v>CAR10260EVD5002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15.75" customHeight="1" x14ac:dyDescent="0.2">
      <c r="A122" s="7">
        <f ca="1">IFERROR(__xludf.DUMMYFUNCTION("""COMPUTED_VALUE"""),45251.4227407291)</f>
        <v>45251.422740729096</v>
      </c>
      <c r="B122" s="1" t="str">
        <f ca="1">IFERROR(__xludf.DUMMYFUNCTION("""COMPUTED_VALUE"""),"CEC")</f>
        <v>CEC</v>
      </c>
      <c r="C122" s="1" t="str">
        <f ca="1">IFERROR(__xludf.DUMMYFUNCTION("""COMPUTED_VALUE"""),"re904517903th")</f>
        <v>re904517903th</v>
      </c>
      <c r="D122" s="1" t="str">
        <f ca="1">IFERROR(__xludf.DUMMYFUNCTION("""COMPUTED_VALUE"""),"คิม")</f>
        <v>คิม</v>
      </c>
      <c r="E122" s="1" t="str">
        <f ca="1">IFERROR(__xludf.DUMMYFUNCTION("""COMPUTED_VALUE"""),"0909911687")</f>
        <v>0909911687</v>
      </c>
      <c r="F122" s="1" t="str">
        <f ca="1">IFERROR(__xludf.DUMMYFUNCTION("""COMPUTED_VALUE"""),"2154/80")</f>
        <v>2154/80</v>
      </c>
      <c r="G122" s="1" t="str">
        <f ca="1">IFERROR(__xludf.DUMMYFUNCTION("""COMPUTED_VALUE"""),"นำจ่ายใหม่")</f>
        <v>นำจ่ายใหม่</v>
      </c>
      <c r="H122" s="1" t="str">
        <f ca="1">IFERROR(__xludf.DUMMYFUNCTION("""COMPUTED_VALUE"""),"ด้าน4 ดีบี4")</f>
        <v>ด้าน4 ดีบี4</v>
      </c>
      <c r="I122" s="1" t="str">
        <f ca="1">IFERROR(__xludf.DUMMYFUNCTION("""COMPUTED_VALUE"""),"แจ้งเจ่้าหน้าที่นำจ่ายแล้ว")</f>
        <v>แจ้งเจ่้าหน้าที่นำจ่ายแล้ว</v>
      </c>
      <c r="J122" s="1" t="str">
        <f ca="1">IFERROR(__xludf.DUMMYFUNCTION("""COMPUTED_VALUE"""),"DB4")</f>
        <v>DB4</v>
      </c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15.75" customHeight="1" x14ac:dyDescent="0.2">
      <c r="A123" s="7">
        <f ca="1">IFERROR(__xludf.DUMMYFUNCTION("""COMPUTED_VALUE"""),45251.4245662384)</f>
        <v>45251.424566238398</v>
      </c>
      <c r="B123" s="1" t="str">
        <f ca="1">IFERROR(__xludf.DUMMYFUNCTION("""COMPUTED_VALUE"""),"CEC")</f>
        <v>CEC</v>
      </c>
      <c r="C123" s="1" t="str">
        <f ca="1">IFERROR(__xludf.DUMMYFUNCTION("""COMPUTED_VALUE"""),"ek129461908th")</f>
        <v>ek129461908th</v>
      </c>
      <c r="D123" s="1" t="str">
        <f ca="1">IFERROR(__xludf.DUMMYFUNCTION("""COMPUTED_VALUE"""),"สุรัชต์ณา
")</f>
        <v xml:space="preserve">สุรัชต์ณา
</v>
      </c>
      <c r="E123" s="1" t="str">
        <f ca="1">IFERROR(__xludf.DUMMYFUNCTION("""COMPUTED_VALUE"""),"0873043942")</f>
        <v>0873043942</v>
      </c>
      <c r="F123" s="1" t="str">
        <f ca="1">IFERROR(__xludf.DUMMYFUNCTION("""COMPUTED_VALUE"""),"289/489  อาคารเดอะเบส")</f>
        <v>289/489  อาคารเดอะเบส</v>
      </c>
      <c r="G123" s="1" t="str">
        <f ca="1">IFERROR(__xludf.DUMMYFUNCTION("""COMPUTED_VALUE"""),"ตรวจสอบการนำจ่าย")</f>
        <v>ตรวจสอบการนำจ่าย</v>
      </c>
      <c r="H123" s="1" t="str">
        <f ca="1">IFERROR(__xludf.DUMMYFUNCTION("""COMPUTED_VALUE"""),"ผูรับไม่ได้รับสิ่งของ")</f>
        <v>ผูรับไม่ได้รับสิ่งของ</v>
      </c>
      <c r="I123" s="1" t="str">
        <f ca="1">IFERROR(__xludf.DUMMYFUNCTION("""COMPUTED_VALUE"""),"แจ้งเจ้าหน้าที่นำจ่ายแล้ว")</f>
        <v>แจ้งเจ้าหน้าที่นำจ่ายแล้ว</v>
      </c>
      <c r="J123" s="1" t="str">
        <f ca="1">IFERROR(__xludf.DUMMYFUNCTION("""COMPUTED_VALUE"""),"นำจ่ายรถยนต์")</f>
        <v>นำจ่ายรถยนต์</v>
      </c>
      <c r="K123" s="1" t="str">
        <f ca="1">IFERROR(__xludf.DUMMYFUNCTION("""COMPUTED_VALUE"""),"CAR10260EVD5013")</f>
        <v>CAR10260EVD5013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15.75" customHeight="1" x14ac:dyDescent="0.2">
      <c r="A124" s="7">
        <f ca="1">IFERROR(__xludf.DUMMYFUNCTION("""COMPUTED_VALUE"""),45251.4688396064)</f>
        <v>45251.468839606401</v>
      </c>
      <c r="B124" s="1" t="str">
        <f ca="1">IFERROR(__xludf.DUMMYFUNCTION("""COMPUTED_VALUE"""),"CEC")</f>
        <v>CEC</v>
      </c>
      <c r="C124" s="1" t="str">
        <f ca="1">IFERROR(__xludf.DUMMYFUNCTION("""COMPUTED_VALUE"""),"ed039938045th")</f>
        <v>ed039938045th</v>
      </c>
      <c r="D124" s="1" t="str">
        <f ca="1">IFERROR(__xludf.DUMMYFUNCTION("""COMPUTED_VALUE"""),"กิตติยา
")</f>
        <v xml:space="preserve">กิตติยา
</v>
      </c>
      <c r="E124" s="1" t="str">
        <f ca="1">IFERROR(__xludf.DUMMYFUNCTION("""COMPUTED_VALUE"""),"0937598930")</f>
        <v>0937598930</v>
      </c>
      <c r="F124" s="1" t="str">
        <f ca="1">IFERROR(__xludf.DUMMYFUNCTION("""COMPUTED_VALUE"""),"144 บางนาตราด 31")</f>
        <v>144 บางนาตราด 31</v>
      </c>
      <c r="G124" s="1" t="str">
        <f ca="1">IFERROR(__xludf.DUMMYFUNCTION("""COMPUTED_VALUE"""),"นำจ่ายใหม่")</f>
        <v>นำจ่ายใหม่</v>
      </c>
      <c r="H124" s="1" t="str">
        <f ca="1">IFERROR(__xludf.DUMMYFUNCTION("""COMPUTED_VALUE"""),"บ้านปิด")</f>
        <v>บ้านปิด</v>
      </c>
      <c r="I124" s="1" t="str">
        <f ca="1">IFERROR(__xludf.DUMMYFUNCTION("""COMPUTED_VALUE"""),"แจ้งเจ้าหน้าที่นำจ่ายแล้ว")</f>
        <v>แจ้งเจ้าหน้าที่นำจ่ายแล้ว</v>
      </c>
      <c r="J124" s="1" t="str">
        <f ca="1">IFERROR(__xludf.DUMMYFUNCTION("""COMPUTED_VALUE"""),"DB2")</f>
        <v>DB2</v>
      </c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15.75" customHeight="1" x14ac:dyDescent="0.2">
      <c r="A125" s="7">
        <f ca="1">IFERROR(__xludf.DUMMYFUNCTION("""COMPUTED_VALUE"""),45251.4836416203)</f>
        <v>45251.483641620303</v>
      </c>
      <c r="B125" s="1" t="str">
        <f ca="1">IFERROR(__xludf.DUMMYFUNCTION("""COMPUTED_VALUE"""),"CEC")</f>
        <v>CEC</v>
      </c>
      <c r="C125" s="1" t="str">
        <f ca="1">IFERROR(__xludf.DUMMYFUNCTION("""COMPUTED_VALUE"""),"ed039938045th")</f>
        <v>ed039938045th</v>
      </c>
      <c r="D125" s="1" t="str">
        <f ca="1">IFERROR(__xludf.DUMMYFUNCTION("""COMPUTED_VALUE"""),"กิตติยา")</f>
        <v>กิตติยา</v>
      </c>
      <c r="E125" s="1" t="str">
        <f ca="1">IFERROR(__xludf.DUMMYFUNCTION("""COMPUTED_VALUE"""),"0937598930")</f>
        <v>0937598930</v>
      </c>
      <c r="F125" s="1" t="str">
        <f ca="1">IFERROR(__xludf.DUMMYFUNCTION("""COMPUTED_VALUE"""),"144 บางนตราด  31")</f>
        <v>144 บางนตราด  31</v>
      </c>
      <c r="G125" s="1" t="str">
        <f ca="1">IFERROR(__xludf.DUMMYFUNCTION("""COMPUTED_VALUE"""),"นำจ่ายใหม่")</f>
        <v>นำจ่ายใหม่</v>
      </c>
      <c r="H125" s="1" t="str">
        <f ca="1">IFERROR(__xludf.DUMMYFUNCTION("""COMPUTED_VALUE"""),"บ้านปิด")</f>
        <v>บ้านปิด</v>
      </c>
      <c r="I125" s="1" t="str">
        <f ca="1">IFERROR(__xludf.DUMMYFUNCTION("""COMPUTED_VALUE"""),"แจ้งเจ้าหน้าที่นำจ่ายแล้ว")</f>
        <v>แจ้งเจ้าหน้าที่นำจ่ายแล้ว</v>
      </c>
      <c r="J125" s="1" t="str">
        <f ca="1">IFERROR(__xludf.DUMMYFUNCTION("""COMPUTED_VALUE"""),"DB2")</f>
        <v>DB2</v>
      </c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15.75" customHeight="1" x14ac:dyDescent="0.2">
      <c r="A126" s="7">
        <f ca="1">IFERROR(__xludf.DUMMYFUNCTION("""COMPUTED_VALUE"""),45251.5788134143)</f>
        <v>45251.5788134143</v>
      </c>
      <c r="B126" s="1" t="str">
        <f ca="1">IFERROR(__xludf.DUMMYFUNCTION("""COMPUTED_VALUE"""),"CEC")</f>
        <v>CEC</v>
      </c>
      <c r="C126" s="1" t="str">
        <f ca="1">IFERROR(__xludf.DUMMYFUNCTION("""COMPUTED_VALUE"""),"ea866098381")</f>
        <v>ea866098381</v>
      </c>
      <c r="D126" s="1" t="str">
        <f ca="1">IFERROR(__xludf.DUMMYFUNCTION("""COMPUTED_VALUE"""),"ปุณิกา")</f>
        <v>ปุณิกา</v>
      </c>
      <c r="E126" s="1" t="str">
        <f ca="1">IFERROR(__xludf.DUMMYFUNCTION("""COMPUTED_VALUE"""),"0656266949")</f>
        <v>0656266949</v>
      </c>
      <c r="F126" s="1" t="str">
        <f ca="1">IFERROR(__xludf.DUMMYFUNCTION("""COMPUTED_VALUE"""),"สำนักงานจัหางานพื้นที่ 3 บางนาตราด 34")</f>
        <v>สำนักงานจัหางานพื้นที่ 3 บางนาตราด 34</v>
      </c>
      <c r="G126" s="1" t="str">
        <f ca="1">IFERROR(__xludf.DUMMYFUNCTION("""COMPUTED_VALUE"""),"นำจ่ายใหม่")</f>
        <v>นำจ่ายใหม่</v>
      </c>
      <c r="H126" s="1" t="str">
        <f ca="1">IFERROR(__xludf.DUMMYFUNCTION("""COMPUTED_VALUE"""),"ติดต่อผู้รับไม่ได้")</f>
        <v>ติดต่อผู้รับไม่ได้</v>
      </c>
      <c r="I126" s="1" t="str">
        <f ca="1">IFERROR(__xludf.DUMMYFUNCTION("""COMPUTED_VALUE"""),"แจ้งเจ้าหน้านำจ่ายแล้ว")</f>
        <v>แจ้งเจ้าหน้านำจ่ายแล้ว</v>
      </c>
      <c r="J126" s="1" t="str">
        <f ca="1">IFERROR(__xludf.DUMMYFUNCTION("""COMPUTED_VALUE"""),"DB1")</f>
        <v>DB1</v>
      </c>
      <c r="K126" s="1" t="str">
        <f ca="1">IFERROR(__xludf.DUMMYFUNCTION("""COMPUTED_VALUE"""),"EMS10260EVD1032")</f>
        <v>EMS10260EVD1032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15.75" customHeight="1" x14ac:dyDescent="0.2">
      <c r="A127" s="7">
        <f ca="1">IFERROR(__xludf.DUMMYFUNCTION("""COMPUTED_VALUE"""),45251.5881430439)</f>
        <v>45251.588143043897</v>
      </c>
      <c r="B127" s="1" t="str">
        <f ca="1">IFERROR(__xludf.DUMMYFUNCTION("""COMPUTED_VALUE"""),"CEC")</f>
        <v>CEC</v>
      </c>
      <c r="C127" s="1" t="str">
        <f ca="1">IFERROR(__xludf.DUMMYFUNCTION("""COMPUTED_VALUE"""),"ej366811869th")</f>
        <v>ej366811869th</v>
      </c>
      <c r="D127" s="1" t="str">
        <f ca="1">IFERROR(__xludf.DUMMYFUNCTION("""COMPUTED_VALUE"""),"จินมาลี")</f>
        <v>จินมาลี</v>
      </c>
      <c r="E127" s="1" t="str">
        <f ca="1">IFERROR(__xludf.DUMMYFUNCTION("""COMPUTED_VALUE"""),"061-4162305")</f>
        <v>061-4162305</v>
      </c>
      <c r="F127" s="1" t="str">
        <f ca="1">IFERROR(__xludf.DUMMYFUNCTION("""COMPUTED_VALUE"""),"2089 ชั่น2 (213)อ.เซ็นจูรีอ่อนนุช ติด บีทีเอส อ่อนนุช")</f>
        <v>2089 ชั่น2 (213)อ.เซ็นจูรีอ่อนนุช ติด บีทีเอส อ่อนนุช</v>
      </c>
      <c r="G127" s="1" t="str">
        <f ca="1">IFERROR(__xludf.DUMMYFUNCTION("""COMPUTED_VALUE"""),"ตรวจสอบการนำจ่าย")</f>
        <v>ตรวจสอบการนำจ่าย</v>
      </c>
      <c r="H127" s="1" t="str">
        <f ca="1">IFERROR(__xludf.DUMMYFUNCTION("""COMPUTED_VALUE"""),"--")</f>
        <v>--</v>
      </c>
      <c r="I127" s="1" t="str">
        <f ca="1">IFERROR(__xludf.DUMMYFUNCTION("""COMPUTED_VALUE"""),"-")</f>
        <v>-</v>
      </c>
      <c r="J127" s="1" t="str">
        <f ca="1">IFERROR(__xludf.DUMMYFUNCTION("""COMPUTED_VALUE"""),"DB4")</f>
        <v>DB4</v>
      </c>
      <c r="K127" s="1" t="str">
        <f ca="1">IFERROR(__xludf.DUMMYFUNCTION("""COMPUTED_VALUE"""),"EMS10260EVD4024")</f>
        <v>EMS10260EVD4024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15.75" customHeight="1" x14ac:dyDescent="0.2">
      <c r="A128" s="7">
        <f ca="1">IFERROR(__xludf.DUMMYFUNCTION("""COMPUTED_VALUE"""),45251.589912743)</f>
        <v>45251.589912743002</v>
      </c>
      <c r="B128" s="1" t="str">
        <f ca="1">IFERROR(__xludf.DUMMYFUNCTION("""COMPUTED_VALUE"""),"CEC")</f>
        <v>CEC</v>
      </c>
      <c r="C128" s="1" t="str">
        <f ca="1">IFERROR(__xludf.DUMMYFUNCTION("""COMPUTED_VALUE"""),"ef201682805th")</f>
        <v>ef201682805th</v>
      </c>
      <c r="D128" s="1" t="str">
        <f ca="1">IFERROR(__xludf.DUMMYFUNCTION("""COMPUTED_VALUE"""),"ภัทรพร")</f>
        <v>ภัทรพร</v>
      </c>
      <c r="E128" s="1" t="str">
        <f ca="1">IFERROR(__xludf.DUMMYFUNCTION("""COMPUTED_VALUE"""),"092-4878321")</f>
        <v>092-4878321</v>
      </c>
      <c r="F128" s="1" t="str">
        <f ca="1">IFERROR(__xludf.DUMMYFUNCTION("""COMPUTED_VALUE"""),"1499/6 คอนโดเอสเพ็น ซ.สุขุมวิท 105")</f>
        <v>1499/6 คอนโดเอสเพ็น ซ.สุขุมวิท 105</v>
      </c>
      <c r="G128" s="1" t="str">
        <f ca="1">IFERROR(__xludf.DUMMYFUNCTION("""COMPUTED_VALUE"""),"ตรวจสอบการนำจ่าย")</f>
        <v>ตรวจสอบการนำจ่าย</v>
      </c>
      <c r="H128" s="1" t="str">
        <f ca="1">IFERROR(__xludf.DUMMYFUNCTION("""COMPUTED_VALUE"""),"-")</f>
        <v>-</v>
      </c>
      <c r="I128" s="1" t="str">
        <f ca="1">IFERROR(__xludf.DUMMYFUNCTION("""COMPUTED_VALUE"""),"-")</f>
        <v>-</v>
      </c>
      <c r="J128" s="1" t="str">
        <f ca="1">IFERROR(__xludf.DUMMYFUNCTION("""COMPUTED_VALUE"""),"นำจ่ายรถยนต์")</f>
        <v>นำจ่ายรถยนต์</v>
      </c>
      <c r="K128" s="1" t="str">
        <f ca="1">IFERROR(__xludf.DUMMYFUNCTION("""COMPUTED_VALUE"""),"CAR10260EVD5007")</f>
        <v>CAR10260EVD5007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15.75" customHeight="1" x14ac:dyDescent="0.2">
      <c r="A129" s="7">
        <f ca="1">IFERROR(__xludf.DUMMYFUNCTION("""COMPUTED_VALUE"""),45251.5910924421)</f>
        <v>45251.591092442097</v>
      </c>
      <c r="B129" s="1" t="str">
        <f ca="1">IFERROR(__xludf.DUMMYFUNCTION("""COMPUTED_VALUE"""),"CEC")</f>
        <v>CEC</v>
      </c>
      <c r="C129" s="1" t="str">
        <f ca="1">IFERROR(__xludf.DUMMYFUNCTION("""COMPUTED_VALUE"""),"rt512283965th")</f>
        <v>rt512283965th</v>
      </c>
      <c r="D129" s="1" t="str">
        <f ca="1">IFERROR(__xludf.DUMMYFUNCTION("""COMPUTED_VALUE"""),"จันทณี")</f>
        <v>จันทณี</v>
      </c>
      <c r="E129" s="1" t="str">
        <f ca="1">IFERROR(__xludf.DUMMYFUNCTION("""COMPUTED_VALUE"""),"081-9179933")</f>
        <v>081-9179933</v>
      </c>
      <c r="F129" s="1" t="str">
        <f ca="1">IFERROR(__xludf.DUMMYFUNCTION("""COMPUTED_VALUE"""),"199/327 คอนโดน็อตติ้งฮิลล์ ")</f>
        <v xml:space="preserve">199/327 คอนโดน็อตติ้งฮิลล์ </v>
      </c>
      <c r="G129" s="1" t="str">
        <f ca="1">IFERROR(__xludf.DUMMYFUNCTION("""COMPUTED_VALUE"""),"ตรวจสอบการนำจ่าย")</f>
        <v>ตรวจสอบการนำจ่าย</v>
      </c>
      <c r="H129" s="1" t="str">
        <f ca="1">IFERROR(__xludf.DUMMYFUNCTION("""COMPUTED_VALUE"""),"-")</f>
        <v>-</v>
      </c>
      <c r="I129" s="1" t="str">
        <f ca="1">IFERROR(__xludf.DUMMYFUNCTION("""COMPUTED_VALUE"""),"-")</f>
        <v>-</v>
      </c>
      <c r="J129" s="1" t="str">
        <f ca="1">IFERROR(__xludf.DUMMYFUNCTION("""COMPUTED_VALUE"""),"นำจ่ายรถยนต์")</f>
        <v>นำจ่ายรถยนต์</v>
      </c>
      <c r="K129" s="1" t="str">
        <f ca="1">IFERROR(__xludf.DUMMYFUNCTION("""COMPUTED_VALUE"""),"CAR10260EVD5005")</f>
        <v>CAR10260EVD5005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15.75" customHeight="1" x14ac:dyDescent="0.2">
      <c r="A130" s="7">
        <f ca="1">IFERROR(__xludf.DUMMYFUNCTION("""COMPUTED_VALUE"""),45251.594361574)</f>
        <v>45251.594361574003</v>
      </c>
      <c r="B130" s="1" t="str">
        <f ca="1">IFERROR(__xludf.DUMMYFUNCTION("""COMPUTED_VALUE"""),"CEC")</f>
        <v>CEC</v>
      </c>
      <c r="C130" s="1" t="str">
        <f ca="1">IFERROR(__xludf.DUMMYFUNCTION("""COMPUTED_VALUE"""),"ek129461908th")</f>
        <v>ek129461908th</v>
      </c>
      <c r="D130" s="1" t="str">
        <f ca="1">IFERROR(__xludf.DUMMYFUNCTION("""COMPUTED_VALUE"""),"สุรัชนา")</f>
        <v>สุรัชนา</v>
      </c>
      <c r="E130" s="1" t="str">
        <f ca="1">IFERROR(__xludf.DUMMYFUNCTION("""COMPUTED_VALUE"""),"087-3043942")</f>
        <v>087-3043942</v>
      </c>
      <c r="F130" s="1" t="str">
        <f ca="1">IFERROR(__xludf.DUMMYFUNCTION("""COMPUTED_VALUE"""),"289/489 คอนโดเดอะเบส77 อ่ออนุช1/1")</f>
        <v>289/489 คอนโดเดอะเบส77 อ่ออนุช1/1</v>
      </c>
      <c r="G130" s="1" t="str">
        <f ca="1">IFERROR(__xludf.DUMMYFUNCTION("""COMPUTED_VALUE"""),"ตรวจสอบการนำจ่าย")</f>
        <v>ตรวจสอบการนำจ่าย</v>
      </c>
      <c r="H130" s="1" t="str">
        <f ca="1">IFERROR(__xludf.DUMMYFUNCTION("""COMPUTED_VALUE"""),"-")</f>
        <v>-</v>
      </c>
      <c r="I130" s="1" t="str">
        <f ca="1">IFERROR(__xludf.DUMMYFUNCTION("""COMPUTED_VALUE"""),"-")</f>
        <v>-</v>
      </c>
      <c r="J130" s="1" t="str">
        <f ca="1">IFERROR(__xludf.DUMMYFUNCTION("""COMPUTED_VALUE"""),"นำจ่ายรถยนต์")</f>
        <v>นำจ่ายรถยนต์</v>
      </c>
      <c r="K130" s="1" t="str">
        <f ca="1">IFERROR(__xludf.DUMMYFUNCTION("""COMPUTED_VALUE"""),"CAR10260EVD5013")</f>
        <v>CAR10260EVD5013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15.75" customHeight="1" x14ac:dyDescent="0.2">
      <c r="A131" s="7">
        <f ca="1">IFERROR(__xludf.DUMMYFUNCTION("""COMPUTED_VALUE"""),45251.5958093402)</f>
        <v>45251.595809340201</v>
      </c>
      <c r="B131" s="1" t="str">
        <f ca="1">IFERROR(__xludf.DUMMYFUNCTION("""COMPUTED_VALUE"""),"CEC")</f>
        <v>CEC</v>
      </c>
      <c r="C131" s="1" t="str">
        <f ca="1">IFERROR(__xludf.DUMMYFUNCTION("""COMPUTED_VALUE"""),"em072970322th")</f>
        <v>em072970322th</v>
      </c>
      <c r="D131" s="1" t="str">
        <f ca="1">IFERROR(__xludf.DUMMYFUNCTION("""COMPUTED_VALUE"""),"รัชนีภณ์")</f>
        <v>รัชนีภณ์</v>
      </c>
      <c r="E131" s="1" t="str">
        <f ca="1">IFERROR(__xludf.DUMMYFUNCTION("""COMPUTED_VALUE"""),"095-5301060")</f>
        <v>095-5301060</v>
      </c>
      <c r="F131" s="1" t="str">
        <f ca="1">IFERROR(__xludf.DUMMYFUNCTION("""COMPUTED_VALUE"""),"250 ซอย.สุขุมวิท 95 บางจาก พระโขนง")</f>
        <v>250 ซอย.สุขุมวิท 95 บางจาก พระโขนง</v>
      </c>
      <c r="G131" s="1" t="str">
        <f ca="1">IFERROR(__xludf.DUMMYFUNCTION("""COMPUTED_VALUE"""),"ตรวจสอบการนำจ่าย")</f>
        <v>ตรวจสอบการนำจ่าย</v>
      </c>
      <c r="H131" s="1" t="str">
        <f ca="1">IFERROR(__xludf.DUMMYFUNCTION("""COMPUTED_VALUE"""),"-")</f>
        <v>-</v>
      </c>
      <c r="I131" s="1" t="str">
        <f ca="1">IFERROR(__xludf.DUMMYFUNCTION("""COMPUTED_VALUE"""),"-")</f>
        <v>-</v>
      </c>
      <c r="J131" s="1" t="str">
        <f ca="1">IFERROR(__xludf.DUMMYFUNCTION("""COMPUTED_VALUE"""),"DB3")</f>
        <v>DB3</v>
      </c>
      <c r="K131" s="1" t="str">
        <f ca="1">IFERROR(__xludf.DUMMYFUNCTION("""COMPUTED_VALUE"""),"EMS10260EVD3012")</f>
        <v>EMS10260EVD3012</v>
      </c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15.75" customHeight="1" x14ac:dyDescent="0.2">
      <c r="A132" s="7">
        <f ca="1">IFERROR(__xludf.DUMMYFUNCTION("""COMPUTED_VALUE"""),45251.5996435185)</f>
        <v>45251.599643518501</v>
      </c>
      <c r="B132" s="1" t="str">
        <f ca="1">IFERROR(__xludf.DUMMYFUNCTION("""COMPUTED_VALUE"""),"CEC")</f>
        <v>CEC</v>
      </c>
      <c r="C132" s="1" t="str">
        <f ca="1">IFERROR(__xludf.DUMMYFUNCTION("""COMPUTED_VALUE"""),"en502106189th")</f>
        <v>en502106189th</v>
      </c>
      <c r="D132" s="1" t="str">
        <f ca="1">IFERROR(__xludf.DUMMYFUNCTION("""COMPUTED_VALUE"""),"วรรณกร (COD.690บาท)")</f>
        <v>วรรณกร (COD.690บาท)</v>
      </c>
      <c r="E132" s="1" t="str">
        <f ca="1">IFERROR(__xludf.DUMMYFUNCTION("""COMPUTED_VALUE"""),"083-8560220")</f>
        <v>083-8560220</v>
      </c>
      <c r="F132" s="1" t="str">
        <f ca="1">IFERROR(__xludf.DUMMYFUNCTION("""COMPUTED_VALUE"""),"229 วัดผ่องพลอย ซอย.ลาซาน ")</f>
        <v xml:space="preserve">229 วัดผ่องพลอย ซอย.ลาซาน </v>
      </c>
      <c r="G132" s="1" t="str">
        <f ca="1">IFERROR(__xludf.DUMMYFUNCTION("""COMPUTED_VALUE"""),"นำจ่ายใหม่")</f>
        <v>นำจ่ายใหม่</v>
      </c>
      <c r="H132" s="1" t="str">
        <f ca="1">IFERROR(__xludf.DUMMYFUNCTION("""COMPUTED_VALUE"""),"-")</f>
        <v>-</v>
      </c>
      <c r="I132" s="1" t="str">
        <f ca="1">IFERROR(__xludf.DUMMYFUNCTION("""COMPUTED_VALUE"""),"-")</f>
        <v>-</v>
      </c>
      <c r="J132" s="1" t="str">
        <f ca="1">IFERROR(__xludf.DUMMYFUNCTION("""COMPUTED_VALUE"""),"DB1")</f>
        <v>DB1</v>
      </c>
      <c r="K132" s="1" t="str">
        <f ca="1">IFERROR(__xludf.DUMMYFUNCTION("""COMPUTED_VALUE"""),"EMS10260EVD1013")</f>
        <v>EMS10260EVD1013</v>
      </c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15.75" customHeight="1" x14ac:dyDescent="0.2">
      <c r="A133" s="7">
        <f ca="1">IFERROR(__xludf.DUMMYFUNCTION("""COMPUTED_VALUE"""),45251.6035796759)</f>
        <v>45251.603579675902</v>
      </c>
      <c r="B133" s="1" t="str">
        <f ca="1">IFERROR(__xludf.DUMMYFUNCTION("""COMPUTED_VALUE"""),"CEC")</f>
        <v>CEC</v>
      </c>
      <c r="C133" s="1" t="str">
        <f ca="1">IFERROR(__xludf.DUMMYFUNCTION("""COMPUTED_VALUE"""),"ry710849881th")</f>
        <v>ry710849881th</v>
      </c>
      <c r="D133" s="1" t="str">
        <f ca="1">IFERROR(__xludf.DUMMYFUNCTION("""COMPUTED_VALUE"""),"ชนุช")</f>
        <v>ชนุช</v>
      </c>
      <c r="E133" s="1" t="str">
        <f ca="1">IFERROR(__xludf.DUMMYFUNCTION("""COMPUTED_VALUE"""),"063-5641962")</f>
        <v>063-5641962</v>
      </c>
      <c r="F133" s="1" t="str">
        <f ca="1">IFERROR(__xludf.DUMMYFUNCTION("""COMPUTED_VALUE"""),"93/543 คอนโดโมบิ สุขุมวิท 93")</f>
        <v>93/543 คอนโดโมบิ สุขุมวิท 93</v>
      </c>
      <c r="G133" s="1" t="str">
        <f ca="1">IFERROR(__xludf.DUMMYFUNCTION("""COMPUTED_VALUE"""),"ตรวจสอบการนำจ่าย")</f>
        <v>ตรวจสอบการนำจ่าย</v>
      </c>
      <c r="H133" s="1" t="str">
        <f ca="1">IFERROR(__xludf.DUMMYFUNCTION("""COMPUTED_VALUE"""),"จ่ายไว้ที่ 95/543 ซ.93")</f>
        <v>จ่ายไว้ที่ 95/543 ซ.93</v>
      </c>
      <c r="I133" s="1" t="str">
        <f ca="1">IFERROR(__xludf.DUMMYFUNCTION("""COMPUTED_VALUE"""),"-")</f>
        <v>-</v>
      </c>
      <c r="J133" s="1" t="str">
        <f ca="1">IFERROR(__xludf.DUMMYFUNCTION("""COMPUTED_VALUE"""),"นำจ่ายรถยนต์")</f>
        <v>นำจ่ายรถยนต์</v>
      </c>
      <c r="K133" s="1" t="str">
        <f ca="1">IFERROR(__xludf.DUMMYFUNCTION("""COMPUTED_VALUE"""),"CAR10260EVD5004")</f>
        <v>CAR10260EVD5004</v>
      </c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15.75" customHeight="1" x14ac:dyDescent="0.2">
      <c r="A134" s="7">
        <f ca="1">IFERROR(__xludf.DUMMYFUNCTION("""COMPUTED_VALUE"""),45252.3807100115)</f>
        <v>45252.380710011501</v>
      </c>
      <c r="B134" s="1" t="str">
        <f ca="1">IFERROR(__xludf.DUMMYFUNCTION("""COMPUTED_VALUE"""),"CEC")</f>
        <v>CEC</v>
      </c>
      <c r="C134" s="1" t="str">
        <f ca="1">IFERROR(__xludf.DUMMYFUNCTION("""COMPUTED_VALUE"""),"re671768185th")</f>
        <v>re671768185th</v>
      </c>
      <c r="D134" s="1" t="str">
        <f ca="1">IFERROR(__xludf.DUMMYFUNCTION("""COMPUTED_VALUE"""),"วิชิต")</f>
        <v>วิชิต</v>
      </c>
      <c r="E134" s="1" t="str">
        <f ca="1">IFERROR(__xludf.DUMMYFUNCTION("""COMPUTED_VALUE"""),"0886684448")</f>
        <v>0886684448</v>
      </c>
      <c r="F134" s="1" t="str">
        <f ca="1">IFERROR(__xludf.DUMMYFUNCTION("""COMPUTED_VALUE"""),"5 บางนาตราด 23")</f>
        <v>5 บางนาตราด 23</v>
      </c>
      <c r="G134" s="1" t="str">
        <f ca="1">IFERROR(__xludf.DUMMYFUNCTION("""COMPUTED_VALUE"""),"นำจ่ายใหม่")</f>
        <v>นำจ่ายใหม่</v>
      </c>
      <c r="H134" s="1" t="str">
        <f ca="1">IFERROR(__xludf.DUMMYFUNCTION("""COMPUTED_VALUE"""),"หมายเหตุ ไม่เลขตามจ่าหน้า")</f>
        <v>หมายเหตุ ไม่เลขตามจ่าหน้า</v>
      </c>
      <c r="I134" s="1" t="str">
        <f ca="1">IFERROR(__xludf.DUMMYFUNCTION("""COMPUTED_VALUE"""),"แจ้งเจ้าหน้")</f>
        <v>แจ้งเจ้าหน้</v>
      </c>
      <c r="J134" s="1" t="str">
        <f ca="1">IFERROR(__xludf.DUMMYFUNCTION("""COMPUTED_VALUE"""),"DB2")</f>
        <v>DB2</v>
      </c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5.75" customHeight="1" x14ac:dyDescent="0.2">
      <c r="A135" s="7">
        <f ca="1">IFERROR(__xludf.DUMMYFUNCTION("""COMPUTED_VALUE"""),45252.5063140046)</f>
        <v>45252.506314004597</v>
      </c>
      <c r="B135" s="1" t="str">
        <f ca="1">IFERROR(__xludf.DUMMYFUNCTION("""COMPUTED_VALUE"""),"CEC")</f>
        <v>CEC</v>
      </c>
      <c r="C135" s="1" t="str">
        <f ca="1">IFERROR(__xludf.DUMMYFUNCTION("""COMPUTED_VALUE"""),"rl844762881th")</f>
        <v>rl844762881th</v>
      </c>
      <c r="D135" s="1" t="str">
        <f ca="1">IFERROR(__xludf.DUMMYFUNCTION("""COMPUTED_VALUE"""),"ธนณรรจ์")</f>
        <v>ธนณรรจ์</v>
      </c>
      <c r="E135" s="1" t="str">
        <f ca="1">IFERROR(__xludf.DUMMYFUNCTION("""COMPUTED_VALUE"""),"081-8685118")</f>
        <v>081-8685118</v>
      </c>
      <c r="F135" s="1" t="str">
        <f ca="1">IFERROR(__xludf.DUMMYFUNCTION("""COMPUTED_VALUE"""),"6 ซอย.อุดมสุข30 แยก7-13 ซ.103")</f>
        <v>6 ซอย.อุดมสุข30 แยก7-13 ซ.103</v>
      </c>
      <c r="G135" s="1" t="str">
        <f ca="1">IFERROR(__xludf.DUMMYFUNCTION("""COMPUTED_VALUE"""),"ตรวจสอบการนำจ่าย")</f>
        <v>ตรวจสอบการนำจ่าย</v>
      </c>
      <c r="H135" s="1" t="str">
        <f ca="1">IFERROR(__xludf.DUMMYFUNCTION("""COMPUTED_VALUE"""),"-")</f>
        <v>-</v>
      </c>
      <c r="I135" s="1" t="str">
        <f ca="1">IFERROR(__xludf.DUMMYFUNCTION("""COMPUTED_VALUE"""),"-")</f>
        <v>-</v>
      </c>
      <c r="J135" s="1" t="str">
        <f ca="1">IFERROR(__xludf.DUMMYFUNCTION("""COMPUTED_VALUE"""),"DB2")</f>
        <v>DB2</v>
      </c>
      <c r="K135" s="1" t="str">
        <f ca="1">IFERROR(__xludf.DUMMYFUNCTION("""COMPUTED_VALUE"""),"EMS10260EVD2016")</f>
        <v>EMS10260EVD2016</v>
      </c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15.75" customHeight="1" x14ac:dyDescent="0.2">
      <c r="A136" s="7">
        <f ca="1">IFERROR(__xludf.DUMMYFUNCTION("""COMPUTED_VALUE"""),45252.5079493171)</f>
        <v>45252.5079493171</v>
      </c>
      <c r="B136" s="1" t="str">
        <f ca="1">IFERROR(__xludf.DUMMYFUNCTION("""COMPUTED_VALUE"""),"CEC")</f>
        <v>CEC</v>
      </c>
      <c r="C136" s="1" t="str">
        <f ca="1">IFERROR(__xludf.DUMMYFUNCTION("""COMPUTED_VALUE"""),"ea866610049th")</f>
        <v>ea866610049th</v>
      </c>
      <c r="D136" s="1" t="str">
        <f ca="1">IFERROR(__xludf.DUMMYFUNCTION("""COMPUTED_VALUE"""),"ศิรินทร์")</f>
        <v>ศิรินทร์</v>
      </c>
      <c r="E136" s="1" t="str">
        <f ca="1">IFERROR(__xludf.DUMMYFUNCTION("""COMPUTED_VALUE"""),"094-2307198")</f>
        <v>094-2307198</v>
      </c>
      <c r="F136" s="1" t="str">
        <f ca="1">IFERROR(__xludf.DUMMYFUNCTION("""COMPUTED_VALUE"""),"2952 คอนโดไอดิโอบูลโค๊ดส์ สุขุมวิท")</f>
        <v>2952 คอนโดไอดิโอบูลโค๊ดส์ สุขุมวิท</v>
      </c>
      <c r="G136" s="1" t="str">
        <f ca="1">IFERROR(__xludf.DUMMYFUNCTION("""COMPUTED_VALUE"""),"นำจ่ายใหม่")</f>
        <v>นำจ่ายใหม่</v>
      </c>
      <c r="H136" s="1" t="str">
        <f ca="1">IFERROR(__xludf.DUMMYFUNCTION("""COMPUTED_VALUE"""),"(COD.254 บาท)")</f>
        <v>(COD.254 บาท)</v>
      </c>
      <c r="I136" s="1" t="str">
        <f ca="1">IFERROR(__xludf.DUMMYFUNCTION("""COMPUTED_VALUE"""),"-")</f>
        <v>-</v>
      </c>
      <c r="J136" s="1" t="str">
        <f ca="1">IFERROR(__xludf.DUMMYFUNCTION("""COMPUTED_VALUE"""),"DB2")</f>
        <v>DB2</v>
      </c>
      <c r="K136" s="1" t="str">
        <f ca="1">IFERROR(__xludf.DUMMYFUNCTION("""COMPUTED_VALUE"""),"ems10260evd2003")</f>
        <v>ems10260evd2003</v>
      </c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15.75" customHeight="1" x14ac:dyDescent="0.2">
      <c r="A137" s="7">
        <f ca="1">IFERROR(__xludf.DUMMYFUNCTION("""COMPUTED_VALUE"""),45252.5097650347)</f>
        <v>45252.509765034702</v>
      </c>
      <c r="B137" s="1" t="str">
        <f ca="1">IFERROR(__xludf.DUMMYFUNCTION("""COMPUTED_VALUE"""),"CEC")</f>
        <v>CEC</v>
      </c>
      <c r="C137" s="1" t="str">
        <f ca="1">IFERROR(__xludf.DUMMYFUNCTION("""COMPUTED_VALUE"""),"eb524324999th")</f>
        <v>eb524324999th</v>
      </c>
      <c r="D137" s="1" t="str">
        <f ca="1">IFERROR(__xludf.DUMMYFUNCTION("""COMPUTED_VALUE"""),"มานพ")</f>
        <v>มานพ</v>
      </c>
      <c r="E137" s="1" t="str">
        <f ca="1">IFERROR(__xludf.DUMMYFUNCTION("""COMPUTED_VALUE"""),"0849543456")</f>
        <v>0849543456</v>
      </c>
      <c r="F137" s="1" t="str">
        <f ca="1">IFERROR(__xludf.DUMMYFUNCTION("""COMPUTED_VALUE"""),"13/22 ตึกแถว ซอย.สุขุมวิท 103/1")</f>
        <v>13/22 ตึกแถว ซอย.สุขุมวิท 103/1</v>
      </c>
      <c r="G137" s="1" t="str">
        <f ca="1">IFERROR(__xludf.DUMMYFUNCTION("""COMPUTED_VALUE"""),"ตรวจสอบการนำจ่าย")</f>
        <v>ตรวจสอบการนำจ่าย</v>
      </c>
      <c r="H137" s="1" t="str">
        <f ca="1">IFERROR(__xludf.DUMMYFUNCTION("""COMPUTED_VALUE"""),"กำลังนำจ่าย")</f>
        <v>กำลังนำจ่าย</v>
      </c>
      <c r="I137" s="1" t="str">
        <f ca="1">IFERROR(__xludf.DUMMYFUNCTION("""COMPUTED_VALUE"""),"-")</f>
        <v>-</v>
      </c>
      <c r="J137" s="1" t="str">
        <f ca="1">IFERROR(__xludf.DUMMYFUNCTION("""COMPUTED_VALUE"""),"นำจ่ายรถยนต์")</f>
        <v>นำจ่ายรถยนต์</v>
      </c>
      <c r="K137" s="1" t="str">
        <f ca="1">IFERROR(__xludf.DUMMYFUNCTION("""COMPUTED_VALUE"""),"CAR10260EVD5010")</f>
        <v>CAR10260EVD5010</v>
      </c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15.75" customHeight="1" x14ac:dyDescent="0.2">
      <c r="A138" s="7">
        <f ca="1">IFERROR(__xludf.DUMMYFUNCTION("""COMPUTED_VALUE"""),45252.5114951157)</f>
        <v>45252.511495115701</v>
      </c>
      <c r="B138" s="1" t="str">
        <f ca="1">IFERROR(__xludf.DUMMYFUNCTION("""COMPUTED_VALUE"""),"On Queue")</f>
        <v>On Queue</v>
      </c>
      <c r="C138" s="1" t="str">
        <f ca="1">IFERROR(__xludf.DUMMYFUNCTION("""COMPUTED_VALUE"""),"rn020351301th")</f>
        <v>rn020351301th</v>
      </c>
      <c r="D138" s="1" t="str">
        <f ca="1">IFERROR(__xludf.DUMMYFUNCTION("""COMPUTED_VALUE"""),"mr.sean fowler")</f>
        <v>mr.sean fowler</v>
      </c>
      <c r="E138" s="1" t="str">
        <f ca="1">IFERROR(__xludf.DUMMYFUNCTION("""COMPUTED_VALUE"""),"089-2745550")</f>
        <v>089-2745550</v>
      </c>
      <c r="F138" s="1" t="str">
        <f ca="1">IFERROR(__xludf.DUMMYFUNCTION("""COMPUTED_VALUE"""),"373/2 ซอย.สุขุมวิท 54")</f>
        <v>373/2 ซอย.สุขุมวิท 54</v>
      </c>
      <c r="G138" s="1" t="str">
        <f ca="1">IFERROR(__xludf.DUMMYFUNCTION("""COMPUTED_VALUE"""),"ตรวจสอบการนำจ่าย")</f>
        <v>ตรวจสอบการนำจ่าย</v>
      </c>
      <c r="H138" s="1" t="str">
        <f ca="1">IFERROR(__xludf.DUMMYFUNCTION("""COMPUTED_VALUE"""),"-")</f>
        <v>-</v>
      </c>
      <c r="I138" s="1" t="str">
        <f ca="1">IFERROR(__xludf.DUMMYFUNCTION("""COMPUTED_VALUE"""),"-")</f>
        <v>-</v>
      </c>
      <c r="J138" s="1" t="str">
        <f ca="1">IFERROR(__xludf.DUMMYFUNCTION("""COMPUTED_VALUE"""),"DB4")</f>
        <v>DB4</v>
      </c>
      <c r="K138" s="1" t="str">
        <f ca="1">IFERROR(__xludf.DUMMYFUNCTION("""COMPUTED_VALUE"""),"EMS10260EVD4017")</f>
        <v>EMS10260EVD4017</v>
      </c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15.75" customHeight="1" x14ac:dyDescent="0.2">
      <c r="A139" s="7">
        <f ca="1">IFERROR(__xludf.DUMMYFUNCTION("""COMPUTED_VALUE"""),45252.5132298032)</f>
        <v>45252.513229803197</v>
      </c>
      <c r="B139" s="1" t="str">
        <f ca="1">IFERROR(__xludf.DUMMYFUNCTION("""COMPUTED_VALUE"""),"On Queue")</f>
        <v>On Queue</v>
      </c>
      <c r="C139" s="1" t="str">
        <f ca="1">IFERROR(__xludf.DUMMYFUNCTION("""COMPUTED_VALUE"""),"ed967597284th")</f>
        <v>ed967597284th</v>
      </c>
      <c r="D139" s="1" t="str">
        <f ca="1">IFERROR(__xludf.DUMMYFUNCTION("""COMPUTED_VALUE"""),"ธีรพันธิ์")</f>
        <v>ธีรพันธิ์</v>
      </c>
      <c r="E139" s="1" t="str">
        <f ca="1">IFERROR(__xludf.DUMMYFUNCTION("""COMPUTED_VALUE"""),"098-4628716")</f>
        <v>098-4628716</v>
      </c>
      <c r="F139" s="1" t="str">
        <f ca="1">IFERROR(__xludf.DUMMYFUNCTION("""COMPUTED_VALUE"""),"บ.เจ เอส วิชั่น 23 บางนา ตราด25")</f>
        <v>บ.เจ เอส วิชั่น 23 บางนา ตราด25</v>
      </c>
      <c r="G139" s="1" t="str">
        <f ca="1">IFERROR(__xludf.DUMMYFUNCTION("""COMPUTED_VALUE"""),"ตรวจสอบการนำจ่าย")</f>
        <v>ตรวจสอบการนำจ่าย</v>
      </c>
      <c r="H139" s="1" t="str">
        <f ca="1">IFERROR(__xludf.DUMMYFUNCTION("""COMPUTED_VALUE"""),"กำลังนำจ่าย")</f>
        <v>กำลังนำจ่าย</v>
      </c>
      <c r="I139" s="1" t="str">
        <f ca="1">IFERROR(__xludf.DUMMYFUNCTION("""COMPUTED_VALUE"""),"-")</f>
        <v>-</v>
      </c>
      <c r="J139" s="1" t="str">
        <f ca="1">IFERROR(__xludf.DUMMYFUNCTION("""COMPUTED_VALUE"""),"DB2")</f>
        <v>DB2</v>
      </c>
      <c r="K139" s="1" t="str">
        <f ca="1">IFERROR(__xludf.DUMMYFUNCTION("""COMPUTED_VALUE"""),"EMS10260EVD2010")</f>
        <v>EMS10260EVD2010</v>
      </c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15.75" customHeight="1" x14ac:dyDescent="0.2">
      <c r="A140" s="7">
        <f ca="1">IFERROR(__xludf.DUMMYFUNCTION("""COMPUTED_VALUE"""),45252.5742310879)</f>
        <v>45252.5742310879</v>
      </c>
      <c r="B140" s="1" t="str">
        <f ca="1">IFERROR(__xludf.DUMMYFUNCTION("""COMPUTED_VALUE"""),"CEC")</f>
        <v>CEC</v>
      </c>
      <c r="C140" s="1" t="str">
        <f ca="1">IFERROR(__xludf.DUMMYFUNCTION("""COMPUTED_VALUE"""),"ef202627354th")</f>
        <v>ef202627354th</v>
      </c>
      <c r="D140" s="1" t="str">
        <f ca="1">IFERROR(__xludf.DUMMYFUNCTION("""COMPUTED_VALUE"""),"สุรีรัตน์")</f>
        <v>สุรีรัตน์</v>
      </c>
      <c r="E140" s="1" t="str">
        <f ca="1">IFERROR(__xludf.DUMMYFUNCTION("""COMPUTED_VALUE"""),"0879241018")</f>
        <v>0879241018</v>
      </c>
      <c r="F140" s="1" t="str">
        <f ca="1">IFERROR(__xludf.DUMMYFUNCTION("""COMPUTED_VALUE"""),"2251 ถ. สุขุมวิทย์")</f>
        <v>2251 ถ. สุขุมวิทย์</v>
      </c>
      <c r="G140" s="1" t="str">
        <f ca="1">IFERROR(__xludf.DUMMYFUNCTION("""COMPUTED_VALUE"""),"ตรวจสอบการนำจ่าย")</f>
        <v>ตรวจสอบการนำจ่าย</v>
      </c>
      <c r="H140" s="1" t="str">
        <f ca="1">IFERROR(__xludf.DUMMYFUNCTION("""COMPUTED_VALUE"""),"ผู้รับไม่ได้รับสิ่งของ")</f>
        <v>ผู้รับไม่ได้รับสิ่งของ</v>
      </c>
      <c r="I140" s="1" t="str">
        <f ca="1">IFERROR(__xludf.DUMMYFUNCTION("""COMPUTED_VALUE"""),"แจ้งเจ้าหน้าที่นำจ่ายแล้ว")</f>
        <v>แจ้งเจ้าหน้าที่นำจ่ายแล้ว</v>
      </c>
      <c r="J140" s="1" t="str">
        <f ca="1">IFERROR(__xludf.DUMMYFUNCTION("""COMPUTED_VALUE"""),"DB3")</f>
        <v>DB3</v>
      </c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15.75" customHeight="1" x14ac:dyDescent="0.2">
      <c r="A141" s="7">
        <f ca="1">IFERROR(__xludf.DUMMYFUNCTION("""COMPUTED_VALUE"""),243567.427372685)</f>
        <v>243567.42737268499</v>
      </c>
      <c r="B141" s="1" t="str">
        <f ca="1">IFERROR(__xludf.DUMMYFUNCTION("""COMPUTED_VALUE"""),"CEC")</f>
        <v>CEC</v>
      </c>
      <c r="C141" s="1" t="str">
        <f ca="1">IFERROR(__xludf.DUMMYFUNCTION("""COMPUTED_VALUE"""),"RY710314246TH")</f>
        <v>RY710314246TH</v>
      </c>
      <c r="D141" s="1" t="str">
        <f ca="1">IFERROR(__xludf.DUMMYFUNCTION("""COMPUTED_VALUE"""),"เมสิณี")</f>
        <v>เมสิณี</v>
      </c>
      <c r="E141" s="1" t="str">
        <f ca="1">IFERROR(__xludf.DUMMYFUNCTION("""COMPUTED_VALUE"""),"085-0665493")</f>
        <v>085-0665493</v>
      </c>
      <c r="F141" s="1" t="str">
        <f ca="1">IFERROR(__xludf.DUMMYFUNCTION("""COMPUTED_VALUE"""),"98/58 ซ.กุศลศิลป์")</f>
        <v>98/58 ซ.กุศลศิลป์</v>
      </c>
      <c r="G141" s="1" t="str">
        <f ca="1">IFERROR(__xludf.DUMMYFUNCTION("""COMPUTED_VALUE"""),"นำจ่ายใหม่")</f>
        <v>นำจ่ายใหม่</v>
      </c>
      <c r="H141" s="1" t="str">
        <f ca="1">IFERROR(__xludf.DUMMYFUNCTION("""COMPUTED_VALUE"""),"บ้านปิด 7/11/66")</f>
        <v>บ้านปิด 7/11/66</v>
      </c>
      <c r="I141" s="1"/>
      <c r="J141" s="1" t="str">
        <f ca="1">IFERROR(__xludf.DUMMYFUNCTION("""COMPUTED_VALUE"""),"DB2")</f>
        <v>DB2</v>
      </c>
      <c r="K141" s="1" t="str">
        <f ca="1">IFERROR(__xludf.DUMMYFUNCTION("""COMPUTED_VALUE"""),"EMS10260EVD2001")</f>
        <v>EMS10260EVD2001</v>
      </c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15.75" customHeight="1" x14ac:dyDescent="0.2">
      <c r="A142" s="7">
        <f ca="1">IFERROR(__xludf.DUMMYFUNCTION("""COMPUTED_VALUE"""),243567.430625)</f>
        <v>243567.43062500001</v>
      </c>
      <c r="B142" s="1" t="str">
        <f ca="1">IFERROR(__xludf.DUMMYFUNCTION("""COMPUTED_VALUE"""),"CEC")</f>
        <v>CEC</v>
      </c>
      <c r="C142" s="1" t="str">
        <f ca="1">IFERROR(__xludf.DUMMYFUNCTION("""COMPUTED_VALUE"""),"ri896874217th")</f>
        <v>ri896874217th</v>
      </c>
      <c r="D142" s="1" t="str">
        <f ca="1">IFERROR(__xludf.DUMMYFUNCTION("""COMPUTED_VALUE"""),"ภัทรนันท์")</f>
        <v>ภัทรนันท์</v>
      </c>
      <c r="E142" s="1" t="str">
        <f ca="1">IFERROR(__xludf.DUMMYFUNCTION("""COMPUTED_VALUE"""),"091-7049127")</f>
        <v>091-7049127</v>
      </c>
      <c r="F142" s="1" t="str">
        <f ca="1">IFERROR(__xludf.DUMMYFUNCTION("""COMPUTED_VALUE"""),"869/130 บ้านเมืองทอง4 ซ.101")</f>
        <v>869/130 บ้านเมืองทอง4 ซ.101</v>
      </c>
      <c r="G142" s="1" t="str">
        <f ca="1">IFERROR(__xludf.DUMMYFUNCTION("""COMPUTED_VALUE"""),"นำจ่ายใหม่")</f>
        <v>นำจ่ายใหม่</v>
      </c>
      <c r="H142" s="1" t="str">
        <f ca="1">IFERROR(__xludf.DUMMYFUNCTION("""COMPUTED_VALUE"""),"-")</f>
        <v>-</v>
      </c>
      <c r="I142" s="1" t="str">
        <f ca="1">IFERROR(__xludf.DUMMYFUNCTION("""COMPUTED_VALUE"""),"-")</f>
        <v>-</v>
      </c>
      <c r="J142" s="1" t="str">
        <f ca="1">IFERROR(__xludf.DUMMYFUNCTION("""COMPUTED_VALUE"""),"DB3")</f>
        <v>DB3</v>
      </c>
      <c r="K142" s="1" t="str">
        <f ca="1">IFERROR(__xludf.DUMMYFUNCTION("""COMPUTED_VALUE"""),"ZNE10260EVD3003")</f>
        <v>ZNE10260EVD3003</v>
      </c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15.75" customHeight="1" x14ac:dyDescent="0.2">
      <c r="A143" s="7">
        <f ca="1">IFERROR(__xludf.DUMMYFUNCTION("""COMPUTED_VALUE"""),243567.43162037)</f>
        <v>243567.43162036999</v>
      </c>
      <c r="B143" s="1" t="str">
        <f ca="1">IFERROR(__xludf.DUMMYFUNCTION("""COMPUTED_VALUE"""),"CEC")</f>
        <v>CEC</v>
      </c>
      <c r="C143" s="1" t="str">
        <f ca="1">IFERROR(__xludf.DUMMYFUNCTION("""COMPUTED_VALUE"""),"em0655740709th")</f>
        <v>em0655740709th</v>
      </c>
      <c r="D143" s="1" t="str">
        <f ca="1">IFERROR(__xludf.DUMMYFUNCTION("""COMPUTED_VALUE"""),"น้ำส้ม")</f>
        <v>น้ำส้ม</v>
      </c>
      <c r="E143" s="1" t="str">
        <f ca="1">IFERROR(__xludf.DUMMYFUNCTION("""COMPUTED_VALUE"""),"0869002228")</f>
        <v>0869002228</v>
      </c>
      <c r="F143" s="1" t="str">
        <f ca="1">IFERROR(__xludf.DUMMYFUNCTION("""COMPUTED_VALUE"""),"101/12  สุขุมวิทย์ 101/1")</f>
        <v>101/12  สุขุมวิทย์ 101/1</v>
      </c>
      <c r="G143" s="1" t="str">
        <f ca="1">IFERROR(__xludf.DUMMYFUNCTION("""COMPUTED_VALUE"""),"นำจ่ายใหม่")</f>
        <v>นำจ่ายใหม่</v>
      </c>
      <c r="H143" s="1" t="str">
        <f ca="1">IFERROR(__xludf.DUMMYFUNCTION("""COMPUTED_VALUE"""),"ออกใบแจ้ง  6/11/66")</f>
        <v>ออกใบแจ้ง  6/11/66</v>
      </c>
      <c r="I143" s="1" t="str">
        <f ca="1">IFERROR(__xludf.DUMMYFUNCTION("""COMPUTED_VALUE"""),"ได้แจ้งเจ้าหน้าที่นำจ่ายใหม่แล้ว")</f>
        <v>ได้แจ้งเจ้าหน้าที่นำจ่ายใหม่แล้ว</v>
      </c>
      <c r="J143" s="1" t="str">
        <f ca="1">IFERROR(__xludf.DUMMYFUNCTION("""COMPUTED_VALUE"""),"DB3")</f>
        <v>DB3</v>
      </c>
      <c r="K143" s="1" t="str">
        <f ca="1">IFERROR(__xludf.DUMMYFUNCTION("""COMPUTED_VALUE"""),"EMS10260EVD3021")</f>
        <v>EMS10260EVD3021</v>
      </c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15.75" customHeight="1" x14ac:dyDescent="0.2">
      <c r="A144" s="7">
        <f ca="1">IFERROR(__xludf.DUMMYFUNCTION("""COMPUTED_VALUE"""),243567.434189814)</f>
        <v>243567.434189814</v>
      </c>
      <c r="B144" s="1" t="str">
        <f ca="1">IFERROR(__xludf.DUMMYFUNCTION("""COMPUTED_VALUE"""),"CEC")</f>
        <v>CEC</v>
      </c>
      <c r="C144" s="1" t="str">
        <f ca="1">IFERROR(__xludf.DUMMYFUNCTION("""COMPUTED_VALUE"""),"eb9943822610th")</f>
        <v>eb9943822610th</v>
      </c>
      <c r="D144" s="1" t="str">
        <f ca="1">IFERROR(__xludf.DUMMYFUNCTION("""COMPUTED_VALUE"""),"ผู้ฝากส่ง")</f>
        <v>ผู้ฝากส่ง</v>
      </c>
      <c r="E144" s="1" t="str">
        <f ca="1">IFERROR(__xludf.DUMMYFUNCTION("""COMPUTED_VALUE"""),"0969422995")</f>
        <v>0969422995</v>
      </c>
      <c r="F144" s="1" t="str">
        <f ca="1">IFERROR(__xludf.DUMMYFUNCTION("""COMPUTED_VALUE"""),"777/138 รีเจ้นโฮม 22")</f>
        <v>777/138 รีเจ้นโฮม 22</v>
      </c>
      <c r="G144" s="1" t="str">
        <f ca="1">IFERROR(__xludf.DUMMYFUNCTION("""COMPUTED_VALUE"""),"ตรวจสอบการนำจ่าย")</f>
        <v>ตรวจสอบการนำจ่าย</v>
      </c>
      <c r="H144" s="1" t="str">
        <f ca="1">IFERROR(__xludf.DUMMYFUNCTION("""COMPUTED_VALUE"""),"ไม่มีการเตรียมการนำจ่าย")</f>
        <v>ไม่มีการเตรียมการนำจ่าย</v>
      </c>
      <c r="I144" s="1" t="str">
        <f ca="1">IFERROR(__xludf.DUMMYFUNCTION("""COMPUTED_VALUE"""),"แจ้งเจ้าหน้าที่ที่เกียวข้องแล้ว")</f>
        <v>แจ้งเจ้าหน้าที่ที่เกียวข้องแล้ว</v>
      </c>
      <c r="J144" s="1" t="str">
        <f ca="1">IFERROR(__xludf.DUMMYFUNCTION("""COMPUTED_VALUE"""),"นำจ่ายรถยนต์")</f>
        <v>นำจ่ายรถยนต์</v>
      </c>
      <c r="K144" s="1" t="str">
        <f ca="1">IFERROR(__xludf.DUMMYFUNCTION("""COMPUTED_VALUE"""),"CAR10260EVD5013")</f>
        <v>CAR10260EVD5013</v>
      </c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15.75" customHeight="1" x14ac:dyDescent="0.2">
      <c r="A145" s="7">
        <f ca="1">IFERROR(__xludf.DUMMYFUNCTION("""COMPUTED_VALUE"""),243567.435960648)</f>
        <v>243567.435960648</v>
      </c>
      <c r="B145" s="1" t="str">
        <f ca="1">IFERROR(__xludf.DUMMYFUNCTION("""COMPUTED_VALUE"""),"On Queue")</f>
        <v>On Queue</v>
      </c>
      <c r="C145" s="1" t="str">
        <f ca="1">IFERROR(__xludf.DUMMYFUNCTION("""COMPUTED_VALUE"""),"EG010632452KR")</f>
        <v>EG010632452KR</v>
      </c>
      <c r="D145" s="1" t="str">
        <f ca="1">IFERROR(__xludf.DUMMYFUNCTION("""COMPUTED_VALUE"""),"ภมรรัตน์")</f>
        <v>ภมรรัตน์</v>
      </c>
      <c r="E145" s="1" t="str">
        <f ca="1">IFERROR(__xludf.DUMMYFUNCTION("""COMPUTED_VALUE"""),"061-1451945")</f>
        <v>061-1451945</v>
      </c>
      <c r="F145" s="1" t="str">
        <f ca="1">IFERROR(__xludf.DUMMYFUNCTION("""COMPUTED_VALUE"""),"195/5 สุขุมวิท 56")</f>
        <v>195/5 สุขุมวิท 56</v>
      </c>
      <c r="G145" s="1" t="str">
        <f ca="1">IFERROR(__xludf.DUMMYFUNCTION("""COMPUTED_VALUE"""),"ตรวจสอบการนำจ่าย")</f>
        <v>ตรวจสอบการนำจ่าย</v>
      </c>
      <c r="H145" s="1" t="str">
        <f ca="1">IFERROR(__xludf.DUMMYFUNCTION("""COMPUTED_VALUE"""),"นำจ่าย 1/11/66")</f>
        <v>นำจ่าย 1/11/66</v>
      </c>
      <c r="I145" s="1"/>
      <c r="J145" s="1" t="str">
        <f ca="1">IFERROR(__xludf.DUMMYFUNCTION("""COMPUTED_VALUE"""),"DB4")</f>
        <v>DB4</v>
      </c>
      <c r="K145" s="1" t="str">
        <f ca="1">IFERROR(__xludf.DUMMYFUNCTION("""COMPUTED_VALUE"""),"EMS10260EVD4014")</f>
        <v>EMS10260EVD4014</v>
      </c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15.75" customHeight="1" x14ac:dyDescent="0.2">
      <c r="A146" s="7">
        <f ca="1">IFERROR(__xludf.DUMMYFUNCTION("""COMPUTED_VALUE"""),243567.436770833)</f>
        <v>243567.43677083301</v>
      </c>
      <c r="B146" s="1" t="str">
        <f ca="1">IFERROR(__xludf.DUMMYFUNCTION("""COMPUTED_VALUE"""),"CEC")</f>
        <v>CEC</v>
      </c>
      <c r="C146" s="1" t="str">
        <f ca="1">IFERROR(__xludf.DUMMYFUNCTION("""COMPUTED_VALUE"""),"ed989200155th")</f>
        <v>ed989200155th</v>
      </c>
      <c r="D146" s="1" t="str">
        <f ca="1">IFERROR(__xludf.DUMMYFUNCTION("""COMPUTED_VALUE"""),"รชต")</f>
        <v>รชต</v>
      </c>
      <c r="E146" s="1" t="str">
        <f ca="1">IFERROR(__xludf.DUMMYFUNCTION("""COMPUTED_VALUE"""),"088-2365464")</f>
        <v>088-2365464</v>
      </c>
      <c r="F146" s="1" t="str">
        <f ca="1">IFERROR(__xludf.DUMMYFUNCTION("""COMPUTED_VALUE"""),"136/1 รุ่งเรืองอพาร์ทเมนท์ สรรพาวุธ1 แยก2")</f>
        <v>136/1 รุ่งเรืองอพาร์ทเมนท์ สรรพาวุธ1 แยก2</v>
      </c>
      <c r="G146" s="1" t="str">
        <f ca="1">IFERROR(__xludf.DUMMYFUNCTION("""COMPUTED_VALUE"""),"นำจ่ายใหม่")</f>
        <v>นำจ่ายใหม่</v>
      </c>
      <c r="H146" s="1" t="str">
        <f ca="1">IFERROR(__xludf.DUMMYFUNCTION("""COMPUTED_VALUE"""),"-")</f>
        <v>-</v>
      </c>
      <c r="I146" s="1" t="str">
        <f ca="1">IFERROR(__xludf.DUMMYFUNCTION("""COMPUTED_VALUE"""),"-")</f>
        <v>-</v>
      </c>
      <c r="J146" s="1" t="str">
        <f ca="1">IFERROR(__xludf.DUMMYFUNCTION("""COMPUTED_VALUE"""),"DB1")</f>
        <v>DB1</v>
      </c>
      <c r="K146" s="1" t="str">
        <f ca="1">IFERROR(__xludf.DUMMYFUNCTION("""COMPUTED_VALUE"""),"EMS10260EVD1006")</f>
        <v>EMS10260EVD1006</v>
      </c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5.75" customHeight="1" x14ac:dyDescent="0.2">
      <c r="A147" s="7">
        <f ca="1">IFERROR(__xludf.DUMMYFUNCTION("""COMPUTED_VALUE"""),243567.437592592)</f>
        <v>243567.437592592</v>
      </c>
      <c r="B147" s="1" t="str">
        <f ca="1">IFERROR(__xludf.DUMMYFUNCTION("""COMPUTED_VALUE"""),"CEC")</f>
        <v>CEC</v>
      </c>
      <c r="C147" s="1" t="str">
        <f ca="1">IFERROR(__xludf.DUMMYFUNCTION("""COMPUTED_VALUE"""),"ef193155504th")</f>
        <v>ef193155504th</v>
      </c>
      <c r="D147" s="1" t="str">
        <f ca="1">IFERROR(__xludf.DUMMYFUNCTION("""COMPUTED_VALUE"""),"ปณ.ธาต์พนม")</f>
        <v>ปณ.ธาต์พนม</v>
      </c>
      <c r="E147" s="1" t="str">
        <f ca="1">IFERROR(__xludf.DUMMYFUNCTION("""COMPUTED_VALUE"""),"0655049262")</f>
        <v>0655049262</v>
      </c>
      <c r="F147" s="1" t="str">
        <f ca="1">IFERROR(__xludf.DUMMYFUNCTION("""COMPUTED_VALUE"""),"405/501นิ รันท์คอนโดตึกf สุขุมวิ ทย์ 93  ซ.พึ่งมี50")</f>
        <v>405/501นิ รันท์คอนโดตึกf สุขุมวิ ทย์ 93  ซ.พึ่งมี50</v>
      </c>
      <c r="G147" s="1" t="str">
        <f ca="1">IFERROR(__xludf.DUMMYFUNCTION("""COMPUTED_VALUE"""),"นำจ่ายใหม่")</f>
        <v>นำจ่ายใหม่</v>
      </c>
      <c r="H147" s="1" t="str">
        <f ca="1">IFERROR(__xludf.DUMMYFUNCTION("""COMPUTED_VALUE"""),"แจ้งเปลียนที่เบอร์โทรศัพย์")</f>
        <v>แจ้งเปลียนที่เบอร์โทรศัพย์</v>
      </c>
      <c r="I147" s="1" t="str">
        <f ca="1">IFERROR(__xludf.DUMMYFUNCTION("""COMPUTED_VALUE"""),"แจ้งเจ้าหน้าที่นำจ่ายใหม่แล้ว")</f>
        <v>แจ้งเจ้าหน้าที่นำจ่ายใหม่แล้ว</v>
      </c>
      <c r="J147" s="1" t="str">
        <f ca="1">IFERROR(__xludf.DUMMYFUNCTION("""COMPUTED_VALUE"""),"DB3")</f>
        <v>DB3</v>
      </c>
      <c r="K147" s="1" t="str">
        <f ca="1">IFERROR(__xludf.DUMMYFUNCTION("""COMPUTED_VALUE"""),"EMS10260EVD3006")</f>
        <v>EMS10260EVD3006</v>
      </c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15.75" customHeight="1" x14ac:dyDescent="0.2">
      <c r="A148" s="7">
        <f ca="1">IFERROR(__xludf.DUMMYFUNCTION("""COMPUTED_VALUE"""),243567.438287037)</f>
        <v>243567.43828703699</v>
      </c>
      <c r="B148" s="1" t="str">
        <f ca="1">IFERROR(__xludf.DUMMYFUNCTION("""COMPUTED_VALUE"""),"CEC")</f>
        <v>CEC</v>
      </c>
      <c r="C148" s="1" t="str">
        <f ca="1">IFERROR(__xludf.DUMMYFUNCTION("""COMPUTED_VALUE"""),"ob301325491th")</f>
        <v>ob301325491th</v>
      </c>
      <c r="D148" s="1" t="str">
        <f ca="1">IFERROR(__xludf.DUMMYFUNCTION("""COMPUTED_VALUE"""),"เก็จกนก")</f>
        <v>เก็จกนก</v>
      </c>
      <c r="E148" s="1" t="str">
        <f ca="1">IFERROR(__xludf.DUMMYFUNCTION("""COMPUTED_VALUE"""),"095-9479965")</f>
        <v>095-9479965</v>
      </c>
      <c r="F148" s="1" t="str">
        <f ca="1">IFERROR(__xludf.DUMMYFUNCTION("""COMPUTED_VALUE"""),"11 ซอย.ปุณณวิถี 20 สุขุมวิท 101")</f>
        <v>11 ซอย.ปุณณวิถี 20 สุขุมวิท 101</v>
      </c>
      <c r="G148" s="1" t="str">
        <f ca="1">IFERROR(__xludf.DUMMYFUNCTION("""COMPUTED_VALUE"""),"นำจ่ายใหม่")</f>
        <v>นำจ่ายใหม่</v>
      </c>
      <c r="H148" s="1" t="str">
        <f ca="1">IFERROR(__xludf.DUMMYFUNCTION("""COMPUTED_VALUE"""),"-")</f>
        <v>-</v>
      </c>
      <c r="I148" s="1" t="str">
        <f ca="1">IFERROR(__xludf.DUMMYFUNCTION("""COMPUTED_VALUE"""),"-")</f>
        <v>-</v>
      </c>
      <c r="J148" s="1" t="str">
        <f ca="1">IFERROR(__xludf.DUMMYFUNCTION("""COMPUTED_VALUE"""),"DB3")</f>
        <v>DB3</v>
      </c>
      <c r="K148" s="1" t="str">
        <f ca="1">IFERROR(__xludf.DUMMYFUNCTION("""COMPUTED_VALUE"""),"EMS10260EVD3020")</f>
        <v>EMS10260EVD3020</v>
      </c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15.75" customHeight="1" x14ac:dyDescent="0.2">
      <c r="A149" s="7">
        <f ca="1">IFERROR(__xludf.DUMMYFUNCTION("""COMPUTED_VALUE"""),243567.439826388)</f>
        <v>243567.439826388</v>
      </c>
      <c r="B149" s="1" t="str">
        <f ca="1">IFERROR(__xludf.DUMMYFUNCTION("""COMPUTED_VALUE"""),"CEC")</f>
        <v>CEC</v>
      </c>
      <c r="C149" s="1" t="str">
        <f ca="1">IFERROR(__xludf.DUMMYFUNCTION("""COMPUTED_VALUE"""),"eb869319317th")</f>
        <v>eb869319317th</v>
      </c>
      <c r="D149" s="1" t="str">
        <f ca="1">IFERROR(__xludf.DUMMYFUNCTION("""COMPUTED_VALUE"""),"พนพิไล")</f>
        <v>พนพิไล</v>
      </c>
      <c r="E149" s="1" t="str">
        <f ca="1">IFERROR(__xludf.DUMMYFUNCTION("""COMPUTED_VALUE"""),"0830359954")</f>
        <v>0830359954</v>
      </c>
      <c r="F149" s="1" t="str">
        <f ca="1">IFERROR(__xludf.DUMMYFUNCTION("""COMPUTED_VALUE"""),"10 ประวิทย์และเพื่อน 7")</f>
        <v>10 ประวิทย์และเพื่อน 7</v>
      </c>
      <c r="G149" s="1" t="str">
        <f ca="1">IFERROR(__xludf.DUMMYFUNCTION("""COMPUTED_VALUE"""),"ตรวจสอบการนำจ่าย")</f>
        <v>ตรวจสอบการนำจ่าย</v>
      </c>
      <c r="H149" s="1" t="str">
        <f ca="1">IFERROR(__xludf.DUMMYFUNCTION("""COMPUTED_VALUE"""),"ผู้รับไม่ได้รับสิ่งของ")</f>
        <v>ผู้รับไม่ได้รับสิ่งของ</v>
      </c>
      <c r="I149" s="1" t="str">
        <f ca="1">IFERROR(__xludf.DUMMYFUNCTION("""COMPUTED_VALUE"""),"แจ้งเจ้าหน้าที่ผู้ที่นำจ่ายแล้ว")</f>
        <v>แจ้งเจ้าหน้าที่ผู้ที่นำจ่ายแล้ว</v>
      </c>
      <c r="J149" s="1" t="str">
        <f ca="1">IFERROR(__xludf.DUMMYFUNCTION("""COMPUTED_VALUE"""),"DB3")</f>
        <v>DB3</v>
      </c>
      <c r="K149" s="1" t="str">
        <f ca="1">IFERROR(__xludf.DUMMYFUNCTION("""COMPUTED_VALUE"""),"EMS10260EVD3037")</f>
        <v>EMS10260EVD3037</v>
      </c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15.75" customHeight="1" x14ac:dyDescent="0.2">
      <c r="A150" s="7">
        <f ca="1">IFERROR(__xludf.DUMMYFUNCTION("""COMPUTED_VALUE"""),243567.441875)</f>
        <v>243567.44187499999</v>
      </c>
      <c r="B150" s="1" t="str">
        <f ca="1">IFERROR(__xludf.DUMMYFUNCTION("""COMPUTED_VALUE"""),"CEC")</f>
        <v>CEC</v>
      </c>
      <c r="C150" s="1" t="str">
        <f ca="1">IFERROR(__xludf.DUMMYFUNCTION("""COMPUTED_VALUE"""),"ej451611665th")</f>
        <v>ej451611665th</v>
      </c>
      <c r="D150" s="1" t="str">
        <f ca="1">IFERROR(__xludf.DUMMYFUNCTION("""COMPUTED_VALUE"""),"สุกัญญา")</f>
        <v>สุกัญญา</v>
      </c>
      <c r="E150" s="1" t="str">
        <f ca="1">IFERROR(__xludf.DUMMYFUNCTION("""COMPUTED_VALUE"""),"0973168955")</f>
        <v>0973168955</v>
      </c>
      <c r="F150" s="1" t="str">
        <f ca="1">IFERROR(__xludf.DUMMYFUNCTION("""COMPUTED_VALUE"""),"112/154  สุขุมวิทย์50")</f>
        <v>112/154  สุขุมวิทย์50</v>
      </c>
      <c r="G150" s="1" t="str">
        <f ca="1">IFERROR(__xludf.DUMMYFUNCTION("""COMPUTED_VALUE"""),"ตรวจสอบการนำจ่าย")</f>
        <v>ตรวจสอบการนำจ่าย</v>
      </c>
      <c r="H150" s="1" t="str">
        <f ca="1">IFERROR(__xludf.DUMMYFUNCTION("""COMPUTED_VALUE"""),"ผู้รับไม่ได้รับสิ่งของ")</f>
        <v>ผู้รับไม่ได้รับสิ่งของ</v>
      </c>
      <c r="I150" s="1" t="str">
        <f ca="1">IFERROR(__xludf.DUMMYFUNCTION("""COMPUTED_VALUE"""),"แจ้งเจ้าหน้าที่ผู้ที่นำจ่ายแล้ว")</f>
        <v>แจ้งเจ้าหน้าที่ผู้ที่นำจ่ายแล้ว</v>
      </c>
      <c r="J150" s="1" t="str">
        <f ca="1">IFERROR(__xludf.DUMMYFUNCTION("""COMPUTED_VALUE"""),"นำจ่ายรถยนต์")</f>
        <v>นำจ่ายรถยนต์</v>
      </c>
      <c r="K150" s="1" t="str">
        <f ca="1">IFERROR(__xludf.DUMMYFUNCTION("""COMPUTED_VALUE"""),"CAR10260EVD5007")</f>
        <v>CAR10260EVD5007</v>
      </c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15.75" customHeight="1" x14ac:dyDescent="0.2">
      <c r="A151" s="7">
        <f ca="1">IFERROR(__xludf.DUMMYFUNCTION("""COMPUTED_VALUE"""),243567.462824074)</f>
        <v>243567.462824074</v>
      </c>
      <c r="B151" s="1" t="str">
        <f ca="1">IFERROR(__xludf.DUMMYFUNCTION("""COMPUTED_VALUE"""),"CEC")</f>
        <v>CEC</v>
      </c>
      <c r="C151" s="1" t="str">
        <f ca="1">IFERROR(__xludf.DUMMYFUNCTION("""COMPUTED_VALUE"""),"eb996315502th")</f>
        <v>eb996315502th</v>
      </c>
      <c r="D151" s="1" t="str">
        <f ca="1">IFERROR(__xludf.DUMMYFUNCTION("""COMPUTED_VALUE"""),"สมศักดิ์")</f>
        <v>สมศักดิ์</v>
      </c>
      <c r="E151" s="1" t="str">
        <f ca="1">IFERROR(__xludf.DUMMYFUNCTION("""COMPUTED_VALUE"""),"0890224225")</f>
        <v>0890224225</v>
      </c>
      <c r="F151" s="1" t="str">
        <f ca="1">IFERROR(__xludf.DUMMYFUNCTION("""COMPUTED_VALUE"""),"869/302  หมู่บ้านเมืองทอ ง4")</f>
        <v>869/302  หมู่บ้านเมืองทอ ง4</v>
      </c>
      <c r="G151" s="1" t="str">
        <f ca="1">IFERROR(__xludf.DUMMYFUNCTION("""COMPUTED_VALUE"""),"ตรวจสอบการนำจ่าย")</f>
        <v>ตรวจสอบการนำจ่าย</v>
      </c>
      <c r="H151" s="1" t="str">
        <f ca="1">IFERROR(__xludf.DUMMYFUNCTION("""COMPUTED_VALUE"""),"มีของมาถึงบางนาปลายทางบางนาหรือยัง")</f>
        <v>มีของมาถึงบางนาปลายทางบางนาหรือยัง</v>
      </c>
      <c r="I151" s="1" t="str">
        <f ca="1">IFERROR(__xludf.DUMMYFUNCTION("""COMPUTED_VALUE"""),"ผู้รับขอติดต่อรับเอง")</f>
        <v>ผู้รับขอติดต่อรับเอง</v>
      </c>
      <c r="J151" s="1" t="str">
        <f ca="1">IFERROR(__xludf.DUMMYFUNCTION("""COMPUTED_VALUE"""),"นำจ่ายรถยนต์")</f>
        <v>นำจ่ายรถยนต์</v>
      </c>
      <c r="K151" s="1" t="str">
        <f ca="1">IFERROR(__xludf.DUMMYFUNCTION("""COMPUTED_VALUE"""),"CAR10260EVD5012")</f>
        <v>CAR10260EVD5012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15.75" customHeight="1" x14ac:dyDescent="0.2">
      <c r="A152" s="7">
        <f ca="1">IFERROR(__xludf.DUMMYFUNCTION("""COMPUTED_VALUE"""),243567.467141203)</f>
        <v>243567.467141203</v>
      </c>
      <c r="B152" s="1" t="str">
        <f ca="1">IFERROR(__xludf.DUMMYFUNCTION("""COMPUTED_VALUE"""),"CEC")</f>
        <v>CEC</v>
      </c>
      <c r="C152" s="1" t="str">
        <f ca="1">IFERROR(__xludf.DUMMYFUNCTION("""COMPUTED_VALUE"""),"ED701383994TH")</f>
        <v>ED701383994TH</v>
      </c>
      <c r="D152" s="1" t="str">
        <f ca="1">IFERROR(__xludf.DUMMYFUNCTION("""COMPUTED_VALUE"""),"ณัฐพล")</f>
        <v>ณัฐพล</v>
      </c>
      <c r="E152" s="1" t="str">
        <f ca="1">IFERROR(__xludf.DUMMYFUNCTION("""COMPUTED_VALUE"""),"0985900983")</f>
        <v>0985900983</v>
      </c>
      <c r="F152" s="1" t="str">
        <f ca="1">IFERROR(__xludf.DUMMYFUNCTION("""COMPUTED_VALUE"""),"235/6  ซ.ปุณวิธี7")</f>
        <v>235/6  ซ.ปุณวิธี7</v>
      </c>
      <c r="G152" s="1" t="str">
        <f ca="1">IFERROR(__xludf.DUMMYFUNCTION("""COMPUTED_VALUE"""),"นำจ่ายใหม่")</f>
        <v>นำจ่ายใหม่</v>
      </c>
      <c r="H152" s="1" t="str">
        <f ca="1">IFERROR(__xludf.DUMMYFUNCTION("""COMPUTED_VALUE"""),"สิ่งของมาถึงบางนาหรือยัง")</f>
        <v>สิ่งของมาถึงบางนาหรือยัง</v>
      </c>
      <c r="I152" s="1" t="str">
        <f ca="1">IFERROR(__xludf.DUMMYFUNCTION("""COMPUTED_VALUE"""),"เจ้าหน้ากำลังเตรียมการออกนำจ่าย/")</f>
        <v>เจ้าหน้ากำลังเตรียมการออกนำจ่าย/</v>
      </c>
      <c r="J152" s="1" t="str">
        <f ca="1">IFERROR(__xludf.DUMMYFUNCTION("""COMPUTED_VALUE"""),"นำจ่ายรถยนต์")</f>
        <v>นำจ่ายรถยนต์</v>
      </c>
      <c r="K152" s="1" t="str">
        <f ca="1">IFERROR(__xludf.DUMMYFUNCTION("""COMPUTED_VALUE"""),"CAR10260EVD5012")</f>
        <v>CAR10260EVD5012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15.75" customHeight="1" x14ac:dyDescent="0.2">
      <c r="A153" s="7">
        <f ca="1">IFERROR(__xludf.DUMMYFUNCTION("""COMPUTED_VALUE"""),243567.470462962)</f>
        <v>243567.470462962</v>
      </c>
      <c r="B153" s="1" t="str">
        <f ca="1">IFERROR(__xludf.DUMMYFUNCTION("""COMPUTED_VALUE"""),"CEC")</f>
        <v>CEC</v>
      </c>
      <c r="C153" s="1" t="str">
        <f ca="1">IFERROR(__xludf.DUMMYFUNCTION("""COMPUTED_VALUE"""),"em266408189th")</f>
        <v>em266408189th</v>
      </c>
      <c r="D153" s="1" t="str">
        <f ca="1">IFERROR(__xludf.DUMMYFUNCTION("""COMPUTED_VALUE"""),"ธนดล")</f>
        <v>ธนดล</v>
      </c>
      <c r="E153" s="1" t="str">
        <f ca="1">IFERROR(__xludf.DUMMYFUNCTION("""COMPUTED_VALUE"""),"0955912101")</f>
        <v>0955912101</v>
      </c>
      <c r="F153" s="1" t="str">
        <f ca="1">IFERROR(__xludf.DUMMYFUNCTION("""COMPUTED_VALUE"""),"51/38นิรันท์คอนโดตึกeชั้น6 พึ่งมี52")</f>
        <v>51/38นิรันท์คอนโดตึกeชั้น6 พึ่งมี52</v>
      </c>
      <c r="G153" s="1" t="str">
        <f ca="1">IFERROR(__xludf.DUMMYFUNCTION("""COMPUTED_VALUE"""),"นำจ่ายใหม่")</f>
        <v>นำจ่ายใหม่</v>
      </c>
      <c r="H153" s="1" t="str">
        <f ca="1">IFERROR(__xludf.DUMMYFUNCTION("""COMPUTED_VALUE"""),"ออกใบแจ้งใว้")</f>
        <v>ออกใบแจ้งใว้</v>
      </c>
      <c r="I153" s="1" t="str">
        <f ca="1">IFERROR(__xludf.DUMMYFUNCTION("""COMPUTED_VALUE"""),"เจ้าหน้าที่กำลังออกนำจ่าย")</f>
        <v>เจ้าหน้าที่กำลังออกนำจ่าย</v>
      </c>
      <c r="J153" s="1" t="str">
        <f ca="1">IFERROR(__xludf.DUMMYFUNCTION("""COMPUTED_VALUE"""),"DB3")</f>
        <v>DB3</v>
      </c>
      <c r="K153" s="1" t="str">
        <f ca="1">IFERROR(__xludf.DUMMYFUNCTION("""COMPUTED_VALUE"""),"EMS10260EVD3006")</f>
        <v>EMS10260EVD3006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5.75" customHeight="1" x14ac:dyDescent="0.2">
      <c r="A154" s="7">
        <f ca="1">IFERROR(__xludf.DUMMYFUNCTION("""COMPUTED_VALUE"""),243567.472916666)</f>
        <v>243567.47291666601</v>
      </c>
      <c r="B154" s="1" t="str">
        <f ca="1">IFERROR(__xludf.DUMMYFUNCTION("""COMPUTED_VALUE"""),"CEC")</f>
        <v>CEC</v>
      </c>
      <c r="C154" s="1" t="str">
        <f ca="1">IFERROR(__xludf.DUMMYFUNCTION("""COMPUTED_VALUE"""),"ed985903706th")</f>
        <v>ed985903706th</v>
      </c>
      <c r="D154" s="1" t="str">
        <f ca="1">IFERROR(__xludf.DUMMYFUNCTION("""COMPUTED_VALUE"""),"กิตติชัย")</f>
        <v>กิตติชัย</v>
      </c>
      <c r="E154" s="1" t="str">
        <f ca="1">IFERROR(__xludf.DUMMYFUNCTION("""COMPUTED_VALUE"""),"0941147357")</f>
        <v>0941147357</v>
      </c>
      <c r="F154" s="1" t="str">
        <f ca="1">IFERROR(__xludf.DUMMYFUNCTION("""COMPUTED_VALUE"""),"26/212หอพักพึ่งมีลาซาล 43")</f>
        <v>26/212หอพักพึ่งมีลาซาล 43</v>
      </c>
      <c r="G154" s="1" t="str">
        <f ca="1">IFERROR(__xludf.DUMMYFUNCTION("""COMPUTED_VALUE"""),"นำจ่ายใหม่")</f>
        <v>นำจ่ายใหม่</v>
      </c>
      <c r="H154" s="1" t="str">
        <f ca="1">IFERROR(__xludf.DUMMYFUNCTION("""COMPUTED_VALUE"""),"ออกใบแจ้งเมื่อ30/9/66")</f>
        <v>ออกใบแจ้งเมื่อ30/9/66</v>
      </c>
      <c r="I154" s="1" t="str">
        <f ca="1">IFERROR(__xludf.DUMMYFUNCTION("""COMPUTED_VALUE"""),"แจ้งเจ้าหน้าที่ผู้นำจ่ายแล้ว")</f>
        <v>แจ้งเจ้าหน้าที่ผู้นำจ่ายแล้ว</v>
      </c>
      <c r="J154" s="1" t="str">
        <f ca="1">IFERROR(__xludf.DUMMYFUNCTION("""COMPUTED_VALUE"""),"DB1")</f>
        <v>DB1</v>
      </c>
      <c r="K154" s="1" t="str">
        <f ca="1">IFERROR(__xludf.DUMMYFUNCTION("""COMPUTED_VALUE"""),"EMS10260EVD1023")</f>
        <v>EMS10260EVD1023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15.75" customHeight="1" x14ac:dyDescent="0.2">
      <c r="A155" s="7">
        <f ca="1">IFERROR(__xludf.DUMMYFUNCTION("""COMPUTED_VALUE"""),243567.474571759)</f>
        <v>243567.474571759</v>
      </c>
      <c r="B155" s="1" t="str">
        <f ca="1">IFERROR(__xludf.DUMMYFUNCTION("""COMPUTED_VALUE"""),"CEC")</f>
        <v>CEC</v>
      </c>
      <c r="C155" s="1" t="str">
        <f ca="1">IFERROR(__xludf.DUMMYFUNCTION("""COMPUTED_VALUE"""),"ex429081593th")</f>
        <v>ex429081593th</v>
      </c>
      <c r="D155" s="1" t="str">
        <f ca="1">IFERROR(__xludf.DUMMYFUNCTION("""COMPUTED_VALUE"""),"อัญชลีพร")</f>
        <v>อัญชลีพร</v>
      </c>
      <c r="E155" s="1" t="str">
        <f ca="1">IFERROR(__xludf.DUMMYFUNCTION("""COMPUTED_VALUE"""),"064-3614619")</f>
        <v>064-3614619</v>
      </c>
      <c r="F155" s="1" t="str">
        <f ca="1">IFERROR(__xludf.DUMMYFUNCTION("""COMPUTED_VALUE"""),"2/31 คอนโดนิวโนเบิ้ลเซ็นเตอร์ บางนา ตราด23")</f>
        <v>2/31 คอนโดนิวโนเบิ้ลเซ็นเตอร์ บางนา ตราด23</v>
      </c>
      <c r="G155" s="1" t="str">
        <f ca="1">IFERROR(__xludf.DUMMYFUNCTION("""COMPUTED_VALUE"""),"ตรวจสอบการนำจ่าย")</f>
        <v>ตรวจสอบการนำจ่าย</v>
      </c>
      <c r="H155" s="1" t="str">
        <f ca="1">IFERROR(__xludf.DUMMYFUNCTION("""COMPUTED_VALUE"""),"-")</f>
        <v>-</v>
      </c>
      <c r="I155" s="1" t="str">
        <f ca="1">IFERROR(__xludf.DUMMYFUNCTION("""COMPUTED_VALUE"""),"-")</f>
        <v>-</v>
      </c>
      <c r="J155" s="1" t="str">
        <f ca="1">IFERROR(__xludf.DUMMYFUNCTION("""COMPUTED_VALUE"""),"DB2")</f>
        <v>DB2</v>
      </c>
      <c r="K155" s="1" t="str">
        <f ca="1">IFERROR(__xludf.DUMMYFUNCTION("""COMPUTED_VALUE"""),"EMS10260EVD2009")</f>
        <v>EMS10260EVD2009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15.75" customHeight="1" x14ac:dyDescent="0.2">
      <c r="A156" s="7">
        <f ca="1">IFERROR(__xludf.DUMMYFUNCTION("""COMPUTED_VALUE"""),243567.494571759)</f>
        <v>243567.49457175899</v>
      </c>
      <c r="B156" s="1" t="str">
        <f ca="1">IFERROR(__xludf.DUMMYFUNCTION("""COMPUTED_VALUE"""),"CEC")</f>
        <v>CEC</v>
      </c>
      <c r="C156" s="1" t="str">
        <f ca="1">IFERROR(__xludf.DUMMYFUNCTION("""COMPUTED_VALUE"""),"RI884101100TH")</f>
        <v>RI884101100TH</v>
      </c>
      <c r="D156" s="1" t="str">
        <f ca="1">IFERROR(__xludf.DUMMYFUNCTION("""COMPUTED_VALUE"""),"วิภาวดี")</f>
        <v>วิภาวดี</v>
      </c>
      <c r="E156" s="1" t="str">
        <f ca="1">IFERROR(__xludf.DUMMYFUNCTION("""COMPUTED_VALUE"""),"089-81105921")</f>
        <v>089-81105921</v>
      </c>
      <c r="F156" s="1" t="str">
        <f ca="1">IFERROR(__xludf.DUMMYFUNCTION("""COMPUTED_VALUE"""),"24/44 แฟลตเคหะบางนา")</f>
        <v>24/44 แฟลตเคหะบางนา</v>
      </c>
      <c r="G156" s="1" t="str">
        <f ca="1">IFERROR(__xludf.DUMMYFUNCTION("""COMPUTED_VALUE"""),"ตรวจสอบการนำจ่าย")</f>
        <v>ตรวจสอบการนำจ่าย</v>
      </c>
      <c r="H156" s="1" t="str">
        <f ca="1">IFERROR(__xludf.DUMMYFUNCTION("""COMPUTED_VALUE"""),"นำจ่าย 31/10/66")</f>
        <v>นำจ่าย 31/10/66</v>
      </c>
      <c r="I156" s="1"/>
      <c r="J156" s="1" t="str">
        <f ca="1">IFERROR(__xludf.DUMMYFUNCTION("""COMPUTED_VALUE"""),"DB1")</f>
        <v>DB1</v>
      </c>
      <c r="K156" s="1" t="str">
        <f ca="1">IFERROR(__xludf.DUMMYFUNCTION("""COMPUTED_VALUE"""),"GEN07261EVD0128")</f>
        <v>GEN07261EVD0128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5.75" customHeight="1" x14ac:dyDescent="0.2">
      <c r="A157" s="7">
        <f ca="1">IFERROR(__xludf.DUMMYFUNCTION("""COMPUTED_VALUE"""),243567.500810185)</f>
        <v>243567.50081018501</v>
      </c>
      <c r="B157" s="1" t="str">
        <f ca="1">IFERROR(__xludf.DUMMYFUNCTION("""COMPUTED_VALUE"""),"CEC")</f>
        <v>CEC</v>
      </c>
      <c r="C157" s="1" t="str">
        <f ca="1">IFERROR(__xludf.DUMMYFUNCTION("""COMPUTED_VALUE"""),"ey933544203th")</f>
        <v>ey933544203th</v>
      </c>
      <c r="D157" s="1" t="str">
        <f ca="1">IFERROR(__xludf.DUMMYFUNCTION("""COMPUTED_VALUE"""),"กาญจนา")</f>
        <v>กาญจนา</v>
      </c>
      <c r="E157" s="1" t="str">
        <f ca="1">IFERROR(__xludf.DUMMYFUNCTION("""COMPUTED_VALUE"""),"0639424777")</f>
        <v>0639424777</v>
      </c>
      <c r="F157" s="1" t="str">
        <f ca="1">IFERROR(__xludf.DUMMYFUNCTION("""COMPUTED_VALUE"""),"1/85ซ.ลาซาล10 คอนโดลาซาลพาทร์ตึกA")</f>
        <v>1/85ซ.ลาซาล10 คอนโดลาซาลพาทร์ตึกA</v>
      </c>
      <c r="G157" s="1" t="str">
        <f ca="1">IFERROR(__xludf.DUMMYFUNCTION("""COMPUTED_VALUE"""),"ตรวจสอบการนำจ่าย")</f>
        <v>ตรวจสอบการนำจ่าย</v>
      </c>
      <c r="H157" s="1" t="str">
        <f ca="1">IFERROR(__xludf.DUMMYFUNCTION("""COMPUTED_VALUE"""),"ผู้รับไม่ได้รับสิ่งของ")</f>
        <v>ผู้รับไม่ได้รับสิ่งของ</v>
      </c>
      <c r="I157" s="1" t="str">
        <f ca="1">IFERROR(__xludf.DUMMYFUNCTION("""COMPUTED_VALUE"""),"ได้แจ้งเจ้าหน้ที่ผู้นำที่นำจ่ายแล้ว")</f>
        <v>ได้แจ้งเจ้าหน้ที่ผู้นำที่นำจ่ายแล้ว</v>
      </c>
      <c r="J157" s="1" t="str">
        <f ca="1">IFERROR(__xludf.DUMMYFUNCTION("""COMPUTED_VALUE"""),"DB1")</f>
        <v>DB1</v>
      </c>
      <c r="K157" s="1" t="str">
        <f ca="1">IFERROR(__xludf.DUMMYFUNCTION("""COMPUTED_VALUE"""),"EMS10260EVD1019")</f>
        <v>EMS10260EVD1019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15.75" customHeight="1" x14ac:dyDescent="0.2">
      <c r="A158" s="7">
        <f ca="1">IFERROR(__xludf.DUMMYFUNCTION("""COMPUTED_VALUE"""),243567.503344907)</f>
        <v>243567.50334490699</v>
      </c>
      <c r="B158" s="1" t="str">
        <f ca="1">IFERROR(__xludf.DUMMYFUNCTION("""COMPUTED_VALUE"""),"CEC")</f>
        <v>CEC</v>
      </c>
      <c r="C158" s="1" t="str">
        <f ca="1">IFERROR(__xludf.DUMMYFUNCTION("""COMPUTED_VALUE"""),"ea810885011th")</f>
        <v>ea810885011th</v>
      </c>
      <c r="D158" s="1" t="str">
        <f ca="1">IFERROR(__xludf.DUMMYFUNCTION("""COMPUTED_VALUE"""),"สิริรัตน์")</f>
        <v>สิริรัตน์</v>
      </c>
      <c r="E158" s="1" t="str">
        <f ca="1">IFERROR(__xludf.DUMMYFUNCTION("""COMPUTED_VALUE"""),"0819102512")</f>
        <v>0819102512</v>
      </c>
      <c r="F158" s="1" t="str">
        <f ca="1">IFERROR(__xludf.DUMMYFUNCTION("""COMPUTED_VALUE"""),"42 สุขุมวิทย์99 ")</f>
        <v xml:space="preserve">42 สุขุมวิทย์99 </v>
      </c>
      <c r="G158" s="1" t="str">
        <f ca="1">IFERROR(__xludf.DUMMYFUNCTION("""COMPUTED_VALUE"""),"ตรวจสอบการนำจ่าย")</f>
        <v>ตรวจสอบการนำจ่าย</v>
      </c>
      <c r="H158" s="1" t="str">
        <f ca="1">IFERROR(__xludf.DUMMYFUNCTION("""COMPUTED_VALUE"""),"เจ้าหน้าที่ไมเก็บเงิน  cod")</f>
        <v>เจ้าหน้าที่ไมเก็บเงิน  cod</v>
      </c>
      <c r="I158" s="1" t="str">
        <f ca="1">IFERROR(__xludf.DUMMYFUNCTION("""COMPUTED_VALUE"""),"ได้โทรแจ้งซนจ.เจ้าหน้าที่ผุ้นำจ่ายแล้ว")</f>
        <v>ได้โทรแจ้งซนจ.เจ้าหน้าที่ผุ้นำจ่ายแล้ว</v>
      </c>
      <c r="J158" s="1" t="str">
        <f ca="1">IFERROR(__xludf.DUMMYFUNCTION("""COMPUTED_VALUE"""),"DB3")</f>
        <v>DB3</v>
      </c>
      <c r="K158" s="1" t="str">
        <f ca="1">IFERROR(__xludf.DUMMYFUNCTION("""COMPUTED_VALUE"""),"EMS10260EVD3013")</f>
        <v>EMS10260EVD3013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15.75" customHeight="1" x14ac:dyDescent="0.2">
      <c r="A159" s="7">
        <f ca="1">IFERROR(__xludf.DUMMYFUNCTION("""COMPUTED_VALUE"""),243567.505266203)</f>
        <v>243567.50526620299</v>
      </c>
      <c r="B159" s="1" t="str">
        <f ca="1">IFERROR(__xludf.DUMMYFUNCTION("""COMPUTED_VALUE"""),"CEC")</f>
        <v>CEC</v>
      </c>
      <c r="C159" s="1" t="str">
        <f ca="1">IFERROR(__xludf.DUMMYFUNCTION("""COMPUTED_VALUE"""),"rl292293630th")</f>
        <v>rl292293630th</v>
      </c>
      <c r="D159" s="1" t="str">
        <f ca="1">IFERROR(__xludf.DUMMYFUNCTION("""COMPUTED_VALUE"""),"ธนเมฐ")</f>
        <v>ธนเมฐ</v>
      </c>
      <c r="E159" s="1" t="str">
        <f ca="1">IFERROR(__xludf.DUMMYFUNCTION("""COMPUTED_VALUE"""),"0813534741")</f>
        <v>0813534741</v>
      </c>
      <c r="F159" s="1" t="str">
        <f ca="1">IFERROR(__xludf.DUMMYFUNCTION("""COMPUTED_VALUE"""),"65 บางนาตราด4  ")</f>
        <v xml:space="preserve">65 บางนาตราด4  </v>
      </c>
      <c r="G159" s="1" t="str">
        <f ca="1">IFERROR(__xludf.DUMMYFUNCTION("""COMPUTED_VALUE"""),"ขอถอนคืน")</f>
        <v>ขอถอนคืน</v>
      </c>
      <c r="H159" s="1" t="str">
        <f ca="1">IFERROR(__xludf.DUMMYFUNCTION("""COMPUTED_VALUE"""),"ให้ทำคืนจดหมายได้เลย")</f>
        <v>ให้ทำคืนจดหมายได้เลย</v>
      </c>
      <c r="I159" s="1" t="str">
        <f ca="1">IFERROR(__xludf.DUMMYFUNCTION("""COMPUTED_VALUE"""),"ตรวจสอบแล้ว  ซนจ.กำลังทำการคืน")</f>
        <v>ตรวจสอบแล้ว  ซนจ.กำลังทำการคืน</v>
      </c>
      <c r="J159" s="1" t="str">
        <f ca="1">IFERROR(__xludf.DUMMYFUNCTION("""COMPUTED_VALUE"""),"DB1")</f>
        <v>DB1</v>
      </c>
      <c r="K159" s="1" t="str">
        <f ca="1">IFERROR(__xludf.DUMMYFUNCTION("""COMPUTED_VALUE"""),"EMS10260EVD1036")</f>
        <v>EMS10260EVD1036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5.75" customHeight="1" x14ac:dyDescent="0.2">
      <c r="A160" s="7">
        <f ca="1">IFERROR(__xludf.DUMMYFUNCTION("""COMPUTED_VALUE"""),243567.506840277)</f>
        <v>243567.506840277</v>
      </c>
      <c r="B160" s="1" t="str">
        <f ca="1">IFERROR(__xludf.DUMMYFUNCTION("""COMPUTED_VALUE"""),"CEC")</f>
        <v>CEC</v>
      </c>
      <c r="C160" s="1" t="str">
        <f ca="1">IFERROR(__xludf.DUMMYFUNCTION("""COMPUTED_VALUE"""),"ej007562178th")</f>
        <v>ej007562178th</v>
      </c>
      <c r="D160" s="1" t="str">
        <f ca="1">IFERROR(__xludf.DUMMYFUNCTION("""COMPUTED_VALUE"""),"ภรณ์ทิพย์ ")</f>
        <v xml:space="preserve">ภรณ์ทิพย์ </v>
      </c>
      <c r="E160" s="1" t="str">
        <f ca="1">IFERROR(__xludf.DUMMYFUNCTION("""COMPUTED_VALUE"""),"0623073213")</f>
        <v>0623073213</v>
      </c>
      <c r="F160" s="1" t="str">
        <f ca="1">IFERROR(__xludf.DUMMYFUNCTION("""COMPUTED_VALUE"""),"บิ๊กซีออนนุช")</f>
        <v>บิ๊กซีออนนุช</v>
      </c>
      <c r="G160" s="1" t="str">
        <f ca="1">IFERROR(__xludf.DUMMYFUNCTION("""COMPUTED_VALUE"""),"ตรวจสอบการนำจ่าย")</f>
        <v>ตรวจสอบการนำจ่าย</v>
      </c>
      <c r="H160" s="1" t="str">
        <f ca="1">IFERROR(__xludf.DUMMYFUNCTION("""COMPUTED_VALUE"""),"ติดต่อสอบถามสิ่งของ")</f>
        <v>ติดต่อสอบถามสิ่งของ</v>
      </c>
      <c r="I160" s="1" t="str">
        <f ca="1">IFERROR(__xludf.DUMMYFUNCTION("""COMPUTED_VALUE"""),"ผู้รับได้รับสิ่งของแล้ว")</f>
        <v>ผู้รับได้รับสิ่งของแล้ว</v>
      </c>
      <c r="J160" s="1" t="str">
        <f ca="1">IFERROR(__xludf.DUMMYFUNCTION("""COMPUTED_VALUE"""),"DB4")</f>
        <v>DB4</v>
      </c>
      <c r="K160" s="1" t="str">
        <f ca="1">IFERROR(__xludf.DUMMYFUNCTION("""COMPUTED_VALUE"""),"EMS10260EVD4023")</f>
        <v>EMS10260EVD4023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5.75" customHeight="1" x14ac:dyDescent="0.2">
      <c r="A161" s="7">
        <f ca="1">IFERROR(__xludf.DUMMYFUNCTION("""COMPUTED_VALUE"""),243567.529861111)</f>
        <v>243567.52986111099</v>
      </c>
      <c r="B161" s="1" t="str">
        <f ca="1">IFERROR(__xludf.DUMMYFUNCTION("""COMPUTED_VALUE"""),"CEC")</f>
        <v>CEC</v>
      </c>
      <c r="C161" s="1" t="str">
        <f ca="1">IFERROR(__xludf.DUMMYFUNCTION("""COMPUTED_VALUE"""),"ri893683160th")</f>
        <v>ri893683160th</v>
      </c>
      <c r="D161" s="1" t="str">
        <f ca="1">IFERROR(__xludf.DUMMYFUNCTION("""COMPUTED_VALUE"""),"ชัยวัฒน์")</f>
        <v>ชัยวัฒน์</v>
      </c>
      <c r="E161" s="1" t="str">
        <f ca="1">IFERROR(__xludf.DUMMYFUNCTION("""COMPUTED_VALUE"""),"096-2971742")</f>
        <v>096-2971742</v>
      </c>
      <c r="F161" s="1" t="str">
        <f ca="1">IFERROR(__xludf.DUMMYFUNCTION("""COMPUTED_VALUE"""),"14/4 หอพักไอเรสซิเดนส์ ซ.สาธิต 8 ซ.101/1")</f>
        <v>14/4 หอพักไอเรสซิเดนส์ ซ.สาธิต 8 ซ.101/1</v>
      </c>
      <c r="G161" s="1" t="str">
        <f ca="1">IFERROR(__xludf.DUMMYFUNCTION("""COMPUTED_VALUE"""),"นำจ่ายใหม่")</f>
        <v>นำจ่ายใหม่</v>
      </c>
      <c r="H161" s="1" t="str">
        <f ca="1">IFERROR(__xludf.DUMMYFUNCTION("""COMPUTED_VALUE"""),"-")</f>
        <v>-</v>
      </c>
      <c r="I161" s="1" t="str">
        <f ca="1">IFERROR(__xludf.DUMMYFUNCTION("""COMPUTED_VALUE"""),"-")</f>
        <v>-</v>
      </c>
      <c r="J161" s="1" t="str">
        <f ca="1">IFERROR(__xludf.DUMMYFUNCTION("""COMPUTED_VALUE"""),"DB2")</f>
        <v>DB2</v>
      </c>
      <c r="K161" s="1" t="str">
        <f ca="1">IFERROR(__xludf.DUMMYFUNCTION("""COMPUTED_VALUE"""),"EMS10260EVD2023")</f>
        <v>EMS10260EVD2023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5.75" customHeight="1" x14ac:dyDescent="0.2">
      <c r="A162" s="7">
        <f ca="1">IFERROR(__xludf.DUMMYFUNCTION("""COMPUTED_VALUE"""),243567.531527777)</f>
        <v>243567.531527777</v>
      </c>
      <c r="B162" s="1" t="str">
        <f ca="1">IFERROR(__xludf.DUMMYFUNCTION("""COMPUTED_VALUE"""),"CEC")</f>
        <v>CEC</v>
      </c>
      <c r="C162" s="1" t="str">
        <f ca="1">IFERROR(__xludf.DUMMYFUNCTION("""COMPUTED_VALUE"""),"ri893684942th")</f>
        <v>ri893684942th</v>
      </c>
      <c r="D162" s="1" t="str">
        <f ca="1">IFERROR(__xludf.DUMMYFUNCTION("""COMPUTED_VALUE"""),"พิชภา")</f>
        <v>พิชภา</v>
      </c>
      <c r="E162" s="1" t="str">
        <f ca="1">IFERROR(__xludf.DUMMYFUNCTION("""COMPUTED_VALUE"""),"091-7826141")</f>
        <v>091-7826141</v>
      </c>
      <c r="F162" s="1" t="str">
        <f ca="1">IFERROR(__xludf.DUMMYFUNCTION("""COMPUTED_VALUE"""),"153 ซอย.สุขุมวิท 95/1")</f>
        <v>153 ซอย.สุขุมวิท 95/1</v>
      </c>
      <c r="G162" s="1" t="str">
        <f ca="1">IFERROR(__xludf.DUMMYFUNCTION("""COMPUTED_VALUE"""),"นำจ่ายใหม่")</f>
        <v>นำจ่ายใหม่</v>
      </c>
      <c r="H162" s="1" t="str">
        <f ca="1">IFERROR(__xludf.DUMMYFUNCTION("""COMPUTED_VALUE"""),"-")</f>
        <v>-</v>
      </c>
      <c r="I162" s="1" t="str">
        <f ca="1">IFERROR(__xludf.DUMMYFUNCTION("""COMPUTED_VALUE"""),"-")</f>
        <v>-</v>
      </c>
      <c r="J162" s="1" t="str">
        <f ca="1">IFERROR(__xludf.DUMMYFUNCTION("""COMPUTED_VALUE"""),"DB3")</f>
        <v>DB3</v>
      </c>
      <c r="K162" s="1" t="str">
        <f ca="1">IFERROR(__xludf.DUMMYFUNCTION("""COMPUTED_VALUE"""),"EMS10260EVD3013")</f>
        <v>EMS10260EVD3013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15.75" customHeight="1" x14ac:dyDescent="0.2">
      <c r="A163" s="7">
        <f ca="1">IFERROR(__xludf.DUMMYFUNCTION("""COMPUTED_VALUE"""),243567.532407407)</f>
        <v>243567.53240740701</v>
      </c>
      <c r="B163" s="1" t="str">
        <f ca="1">IFERROR(__xludf.DUMMYFUNCTION("""COMPUTED_VALUE"""),"CEC")</f>
        <v>CEC</v>
      </c>
      <c r="C163" s="1" t="str">
        <f ca="1">IFERROR(__xludf.DUMMYFUNCTION("""COMPUTED_VALUE"""),"ed979115024th")</f>
        <v>ed979115024th</v>
      </c>
      <c r="D163" s="1" t="str">
        <f ca="1">IFERROR(__xludf.DUMMYFUNCTION("""COMPUTED_VALUE"""),"โก ")</f>
        <v xml:space="preserve">โก </v>
      </c>
      <c r="E163" s="1" t="str">
        <f ca="1">IFERROR(__xludf.DUMMYFUNCTION("""COMPUTED_VALUE"""),"097-1081059")</f>
        <v>097-1081059</v>
      </c>
      <c r="F163" s="1" t="str">
        <f ca="1">IFERROR(__xludf.DUMMYFUNCTION("""COMPUTED_VALUE"""),"1112/44 ซอย.สุขุมวิท 48 ")</f>
        <v xml:space="preserve">1112/44 ซอย.สุขุมวิท 48 </v>
      </c>
      <c r="G163" s="1" t="str">
        <f ca="1">IFERROR(__xludf.DUMMYFUNCTION("""COMPUTED_VALUE"""),"ตรวจสอบการนำจ่าย")</f>
        <v>ตรวจสอบการนำจ่าย</v>
      </c>
      <c r="H163" s="1" t="str">
        <f ca="1">IFERROR(__xludf.DUMMYFUNCTION("""COMPUTED_VALUE"""),"try 10110")</f>
        <v>try 10110</v>
      </c>
      <c r="I163" s="1" t="str">
        <f ca="1">IFERROR(__xludf.DUMMYFUNCTION("""COMPUTED_VALUE"""),"-")</f>
        <v>-</v>
      </c>
      <c r="J163" s="1" t="str">
        <f ca="1">IFERROR(__xludf.DUMMYFUNCTION("""COMPUTED_VALUE"""),"นำจ่ายรถยนต์")</f>
        <v>นำจ่ายรถยนต์</v>
      </c>
      <c r="K163" s="1" t="str">
        <f ca="1">IFERROR(__xludf.DUMMYFUNCTION("""COMPUTED_VALUE"""),"ZNE10260EVD5001")</f>
        <v>ZNE10260EVD5001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15.75" customHeight="1" x14ac:dyDescent="0.2">
      <c r="A164" s="7">
        <f ca="1">IFERROR(__xludf.DUMMYFUNCTION("""COMPUTED_VALUE"""),243567.534317129)</f>
        <v>243567.534317129</v>
      </c>
      <c r="B164" s="1" t="str">
        <f ca="1">IFERROR(__xludf.DUMMYFUNCTION("""COMPUTED_VALUE"""),"CEC")</f>
        <v>CEC</v>
      </c>
      <c r="C164" s="1" t="str">
        <f ca="1">IFERROR(__xludf.DUMMYFUNCTION("""COMPUTED_VALUE"""),"ed954379745th")</f>
        <v>ed954379745th</v>
      </c>
      <c r="D164" s="1" t="str">
        <f ca="1">IFERROR(__xludf.DUMMYFUNCTION("""COMPUTED_VALUE"""),"ธัญญ์นภัส")</f>
        <v>ธัญญ์นภัส</v>
      </c>
      <c r="E164" s="1" t="str">
        <f ca="1">IFERROR(__xludf.DUMMYFUNCTION("""COMPUTED_VALUE"""),"092-6632265")</f>
        <v>092-6632265</v>
      </c>
      <c r="F164" s="1" t="str">
        <f ca="1">IFERROR(__xludf.DUMMYFUNCTION("""COMPUTED_VALUE"""),"909 อาคารแอมเพิ้ลทาวเวอร์ ชั่น9 บางนา ตราด")</f>
        <v>909 อาคารแอมเพิ้ลทาวเวอร์ ชั่น9 บางนา ตราด</v>
      </c>
      <c r="G164" s="1" t="str">
        <f ca="1">IFERROR(__xludf.DUMMYFUNCTION("""COMPUTED_VALUE"""),"ตรวจสอบการนำจ่าย")</f>
        <v>ตรวจสอบการนำจ่าย</v>
      </c>
      <c r="H164" s="1" t="str">
        <f ca="1">IFERROR(__xludf.DUMMYFUNCTION("""COMPUTED_VALUE"""),"-")</f>
        <v>-</v>
      </c>
      <c r="I164" s="1" t="str">
        <f ca="1">IFERROR(__xludf.DUMMYFUNCTION("""COMPUTED_VALUE"""),"-")</f>
        <v>-</v>
      </c>
      <c r="J164" s="1" t="str">
        <f ca="1">IFERROR(__xludf.DUMMYFUNCTION("""COMPUTED_VALUE"""),"นำจ่ายรถยนต์")</f>
        <v>นำจ่ายรถยนต์</v>
      </c>
      <c r="K164" s="1" t="str">
        <f ca="1">IFERROR(__xludf.DUMMYFUNCTION("""COMPUTED_VALUE"""),"CAR10260EVD5007")</f>
        <v>CAR10260EVD5007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15.75" customHeight="1" x14ac:dyDescent="0.2">
      <c r="A165" s="7">
        <f ca="1">IFERROR(__xludf.DUMMYFUNCTION("""COMPUTED_VALUE"""),243567.545833333)</f>
        <v>243567.54583333299</v>
      </c>
      <c r="B165" s="1" t="str">
        <f ca="1">IFERROR(__xludf.DUMMYFUNCTION("""COMPUTED_VALUE"""),"On Queue")</f>
        <v>On Queue</v>
      </c>
      <c r="C165" s="1" t="str">
        <f ca="1">IFERROR(__xludf.DUMMYFUNCTION("""COMPUTED_VALUE"""),"ED981115867TH")</f>
        <v>ED981115867TH</v>
      </c>
      <c r="D165" s="1" t="str">
        <f ca="1">IFERROR(__xludf.DUMMYFUNCTION("""COMPUTED_VALUE"""),"บ. Rocket Express ")</f>
        <v xml:space="preserve">บ. Rocket Express </v>
      </c>
      <c r="E165" s="1" t="str">
        <f ca="1">IFERROR(__xludf.DUMMYFUNCTION("""COMPUTED_VALUE"""),"093-3200075")</f>
        <v>093-3200075</v>
      </c>
      <c r="F165" s="1" t="str">
        <f ca="1">IFERROR(__xludf.DUMMYFUNCTION("""COMPUTED_VALUE"""),"104 พรพนาทรัพเรสซิเด้นท์ สุขุมวิท 81")</f>
        <v>104 พรพนาทรัพเรสซิเด้นท์ สุขุมวิท 81</v>
      </c>
      <c r="G165" s="1" t="str">
        <f ca="1">IFERROR(__xludf.DUMMYFUNCTION("""COMPUTED_VALUE"""),"นำจ่ายใหม่")</f>
        <v>นำจ่ายใหม่</v>
      </c>
      <c r="H165" s="1" t="str">
        <f ca="1">IFERROR(__xludf.DUMMYFUNCTION("""COMPUTED_VALUE"""),"สถานะ : (C) ส่วนราชการ / บริษัท หยุด 9/11/66")</f>
        <v>สถานะ : (C) ส่วนราชการ / บริษัท หยุด 9/11/66</v>
      </c>
      <c r="I165" s="1" t="str">
        <f ca="1">IFERROR(__xludf.DUMMYFUNCTION("""COMPUTED_VALUE"""),"แจ้งนำจ่ายใหม่วันนี้แล้ว")</f>
        <v>แจ้งนำจ่ายใหม่วันนี้แล้ว</v>
      </c>
      <c r="J165" s="1" t="str">
        <f ca="1">IFERROR(__xludf.DUMMYFUNCTION("""COMPUTED_VALUE"""),"นำจ่ายรถยนต์")</f>
        <v>นำจ่ายรถยนต์</v>
      </c>
      <c r="K165" s="1" t="str">
        <f ca="1">IFERROR(__xludf.DUMMYFUNCTION("""COMPUTED_VALUE"""),"CAR10260EVD5013")</f>
        <v>CAR10260EVD5013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15.75" customHeight="1" x14ac:dyDescent="0.2">
      <c r="A166" s="7">
        <f ca="1">IFERROR(__xludf.DUMMYFUNCTION("""COMPUTED_VALUE"""),243567.551631944)</f>
        <v>243567.55163194399</v>
      </c>
      <c r="B166" s="1" t="str">
        <f ca="1">IFERROR(__xludf.DUMMYFUNCTION("""COMPUTED_VALUE"""),"CEC")</f>
        <v>CEC</v>
      </c>
      <c r="C166" s="1" t="str">
        <f ca="1">IFERROR(__xludf.DUMMYFUNCTION("""COMPUTED_VALUE"""),"EM407395224TH")</f>
        <v>EM407395224TH</v>
      </c>
      <c r="D166" s="1" t="str">
        <f ca="1">IFERROR(__xludf.DUMMYFUNCTION("""COMPUTED_VALUE"""),"พรกมล")</f>
        <v>พรกมล</v>
      </c>
      <c r="E166" s="1" t="str">
        <f ca="1">IFERROR(__xludf.DUMMYFUNCTION("""COMPUTED_VALUE"""),"083-1226865")</f>
        <v>083-1226865</v>
      </c>
      <c r="F166" s="1" t="str">
        <f ca="1">IFERROR(__xludf.DUMMYFUNCTION("""COMPUTED_VALUE"""),"589/142 อ.เซ็นทรัลทาวเวอร์")</f>
        <v>589/142 อ.เซ็นทรัลทาวเวอร์</v>
      </c>
      <c r="G166" s="1" t="str">
        <f ca="1">IFERROR(__xludf.DUMMYFUNCTION("""COMPUTED_VALUE"""),"ตรวจสอบการนำจ่าย")</f>
        <v>ตรวจสอบการนำจ่าย</v>
      </c>
      <c r="H166" s="1" t="str">
        <f ca="1">IFERROR(__xludf.DUMMYFUNCTION("""COMPUTED_VALUE"""),"นำจ่าย9/11/66 ")</f>
        <v xml:space="preserve">นำจ่าย9/11/66 </v>
      </c>
      <c r="I166" s="1" t="str">
        <f ca="1">IFERROR(__xludf.DUMMYFUNCTION("""COMPUTED_VALUE"""),"ตรวจสอบเพิ่มเติม ผู้รับ ได้รับแล้ว")</f>
        <v>ตรวจสอบเพิ่มเติม ผู้รับ ได้รับแล้ว</v>
      </c>
      <c r="J166" s="1" t="str">
        <f ca="1">IFERROR(__xludf.DUMMYFUNCTION("""COMPUTED_VALUE"""),"นำจ่ายรถยนต์")</f>
        <v>นำจ่ายรถยนต์</v>
      </c>
      <c r="K166" s="1" t="str">
        <f ca="1">IFERROR(__xludf.DUMMYFUNCTION("""COMPUTED_VALUE"""),"CAR10260EVD5007")</f>
        <v>CAR10260EVD5007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15.75" customHeight="1" x14ac:dyDescent="0.2">
      <c r="A167" s="7">
        <f ca="1">IFERROR(__xludf.DUMMYFUNCTION("""COMPUTED_VALUE"""),243567.55693287)</f>
        <v>243567.55693287001</v>
      </c>
      <c r="B167" s="1" t="str">
        <f ca="1">IFERROR(__xludf.DUMMYFUNCTION("""COMPUTED_VALUE"""),"CEC")</f>
        <v>CEC</v>
      </c>
      <c r="C167" s="1" t="str">
        <f ca="1">IFERROR(__xludf.DUMMYFUNCTION("""COMPUTED_VALUE"""),"eb516081615th")</f>
        <v>eb516081615th</v>
      </c>
      <c r="D167" s="1" t="str">
        <f ca="1">IFERROR(__xludf.DUMMYFUNCTION("""COMPUTED_VALUE"""),"พัทนันท์")</f>
        <v>พัทนันท์</v>
      </c>
      <c r="E167" s="1" t="str">
        <f ca="1">IFERROR(__xludf.DUMMYFUNCTION("""COMPUTED_VALUE"""),"0650899726")</f>
        <v>0650899726</v>
      </c>
      <c r="F167" s="1" t="str">
        <f ca="1">IFERROR(__xludf.DUMMYFUNCTION("""COMPUTED_VALUE"""),"8/88  ลาซาล50")</f>
        <v>8/88  ลาซาล50</v>
      </c>
      <c r="G167" s="1" t="str">
        <f ca="1">IFERROR(__xludf.DUMMYFUNCTION("""COMPUTED_VALUE"""),"ตรวจสอบการนำจ่าย")</f>
        <v>ตรวจสอบการนำจ่าย</v>
      </c>
      <c r="H167" s="1" t="str">
        <f ca="1">IFERROR(__xludf.DUMMYFUNCTION("""COMPUTED_VALUE"""),"เบี้องต้นไม่มีการเตรียมการนำจ่าย")</f>
        <v>เบี้องต้นไม่มีการเตรียมการนำจ่าย</v>
      </c>
      <c r="I167" s="1" t="str">
        <f ca="1">IFERROR(__xludf.DUMMYFUNCTION("""COMPUTED_VALUE"""),"แจ้งเจ้าหน้าที่นำจ่ายแล้ว")</f>
        <v>แจ้งเจ้าหน้าที่นำจ่ายแล้ว</v>
      </c>
      <c r="J167" s="1" t="str">
        <f ca="1">IFERROR(__xludf.DUMMYFUNCTION("""COMPUTED_VALUE"""),"DB1")</f>
        <v>DB1</v>
      </c>
      <c r="K167" s="1" t="str">
        <f ca="1">IFERROR(__xludf.DUMMYFUNCTION("""COMPUTED_VALUE"""),"ZNE10260EVD1002")</f>
        <v>ZNE10260EVD1002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5.75" customHeight="1" x14ac:dyDescent="0.2">
      <c r="A168" s="7">
        <f ca="1">IFERROR(__xludf.DUMMYFUNCTION("""COMPUTED_VALUE"""),243567.563009259)</f>
        <v>243567.563009259</v>
      </c>
      <c r="B168" s="1" t="str">
        <f ca="1">IFERROR(__xludf.DUMMYFUNCTION("""COMPUTED_VALUE"""),"CEC")</f>
        <v>CEC</v>
      </c>
      <c r="C168" s="1" t="str">
        <f ca="1">IFERROR(__xludf.DUMMYFUNCTION("""COMPUTED_VALUE"""),"ED900298601TH")</f>
        <v>ED900298601TH</v>
      </c>
      <c r="D168" s="1" t="str">
        <f ca="1">IFERROR(__xludf.DUMMYFUNCTION("""COMPUTED_VALUE"""),"สันชัย")</f>
        <v>สันชัย</v>
      </c>
      <c r="E168" s="1" t="str">
        <f ca="1">IFERROR(__xludf.DUMMYFUNCTION("""COMPUTED_VALUE"""),"064-5853392")</f>
        <v>064-5853392</v>
      </c>
      <c r="F168" s="1" t="str">
        <f ca="1">IFERROR(__xludf.DUMMYFUNCTION("""COMPUTED_VALUE"""),"1780 อ.เตียวฮงบางนา")</f>
        <v>1780 อ.เตียวฮงบางนา</v>
      </c>
      <c r="G168" s="1" t="str">
        <f ca="1">IFERROR(__xludf.DUMMYFUNCTION("""COMPUTED_VALUE"""),"ตรวจสอบการนำจ่าย")</f>
        <v>ตรวจสอบการนำจ่าย</v>
      </c>
      <c r="H168" s="1" t="str">
        <f ca="1">IFERROR(__xludf.DUMMYFUNCTION("""COMPUTED_VALUE"""),"แจ้งกำชับการนำจ่ายภายในวันนี้")</f>
        <v>แจ้งกำชับการนำจ่ายภายในวันนี้</v>
      </c>
      <c r="I168" s="1" t="str">
        <f ca="1">IFERROR(__xludf.DUMMYFUNCTION("""COMPUTED_VALUE"""),"เจ้าหน้าที่เตรียมการนำจ่ายวันนี้แล้ว")</f>
        <v>เจ้าหน้าที่เตรียมการนำจ่ายวันนี้แล้ว</v>
      </c>
      <c r="J168" s="1" t="str">
        <f ca="1">IFERROR(__xludf.DUMMYFUNCTION("""COMPUTED_VALUE"""),"DB1")</f>
        <v>DB1</v>
      </c>
      <c r="K168" s="1" t="str">
        <f ca="1">IFERROR(__xludf.DUMMYFUNCTION("""COMPUTED_VALUE"""),"EMS10260EVD1028")</f>
        <v>EMS10260EVD1028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15.75" customHeight="1" x14ac:dyDescent="0.2">
      <c r="A169" s="7">
        <f ca="1">IFERROR(__xludf.DUMMYFUNCTION("""COMPUTED_VALUE"""),243567.584652777)</f>
        <v>243567.584652777</v>
      </c>
      <c r="B169" s="1" t="str">
        <f ca="1">IFERROR(__xludf.DUMMYFUNCTION("""COMPUTED_VALUE"""),"CEC")</f>
        <v>CEC</v>
      </c>
      <c r="C169" s="1" t="str">
        <f ca="1">IFERROR(__xludf.DUMMYFUNCTION("""COMPUTED_VALUE"""),"EJ844164265TH")</f>
        <v>EJ844164265TH</v>
      </c>
      <c r="D169" s="1" t="str">
        <f ca="1">IFERROR(__xludf.DUMMYFUNCTION("""COMPUTED_VALUE"""),"นิติ คอนโด")</f>
        <v>นิติ คอนโด</v>
      </c>
      <c r="E169" s="1" t="str">
        <f ca="1">IFERROR(__xludf.DUMMYFUNCTION("""COMPUTED_VALUE"""),"065-9836889")</f>
        <v>065-9836889</v>
      </c>
      <c r="F169" s="1" t="str">
        <f ca="1">IFERROR(__xludf.DUMMYFUNCTION("""COMPUTED_VALUE"""),"1198/235 เดอะเบสสุขุมวิท  50")</f>
        <v>1198/235 เดอะเบสสุขุมวิท  50</v>
      </c>
      <c r="G169" s="1" t="str">
        <f ca="1">IFERROR(__xludf.DUMMYFUNCTION("""COMPUTED_VALUE"""),"ตรวจสอบการนำจ่าย")</f>
        <v>ตรวจสอบการนำจ่าย</v>
      </c>
      <c r="H169" s="1" t="str">
        <f ca="1">IFERROR(__xludf.DUMMYFUNCTION("""COMPUTED_VALUE"""),"นำจ่ายวันที่ 7/11/66 ผู้รับยังไม่ได้รับ")</f>
        <v>นำจ่ายวันที่ 7/11/66 ผู้รับยังไม่ได้รับ</v>
      </c>
      <c r="I169" s="1" t="str">
        <f ca="1">IFERROR(__xludf.DUMMYFUNCTION("""COMPUTED_VALUE"""),"แจ้งส่วนที่รับผิดชอบแล้ว")</f>
        <v>แจ้งส่วนที่รับผิดชอบแล้ว</v>
      </c>
      <c r="J169" s="1" t="str">
        <f ca="1">IFERROR(__xludf.DUMMYFUNCTION("""COMPUTED_VALUE"""),"นำจ่ายรถยนต์")</f>
        <v>นำจ่ายรถยนต์</v>
      </c>
      <c r="K169" s="1" t="str">
        <f ca="1">IFERROR(__xludf.DUMMYFUNCTION("""COMPUTED_VALUE"""),"CAR10260EVD5007")</f>
        <v>CAR10260EVD5007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5.75" customHeight="1" x14ac:dyDescent="0.2">
      <c r="A170" s="7">
        <f ca="1">IFERROR(__xludf.DUMMYFUNCTION("""COMPUTED_VALUE"""),243567.62693287)</f>
        <v>243567.62693286999</v>
      </c>
      <c r="B170" s="1" t="str">
        <f ca="1">IFERROR(__xludf.DUMMYFUNCTION("""COMPUTED_VALUE"""),"CEC")</f>
        <v>CEC</v>
      </c>
      <c r="C170" s="1" t="str">
        <f ca="1">IFERROR(__xludf.DUMMYFUNCTION("""COMPUTED_VALUE"""),"ed983800607th")</f>
        <v>ed983800607th</v>
      </c>
      <c r="D170" s="1" t="str">
        <f ca="1">IFERROR(__xludf.DUMMYFUNCTION("""COMPUTED_VALUE"""),"วิรัตน์")</f>
        <v>วิรัตน์</v>
      </c>
      <c r="E170" s="1" t="str">
        <f ca="1">IFERROR(__xludf.DUMMYFUNCTION("""COMPUTED_VALUE"""),"00990093158")</f>
        <v>00990093158</v>
      </c>
      <c r="F170" s="1" t="str">
        <f ca="1">IFERROR(__xludf.DUMMYFUNCTION("""COMPUTED_VALUE"""),"69/3  สมคารแมนชั่น")</f>
        <v>69/3  สมคารแมนชั่น</v>
      </c>
      <c r="G170" s="1" t="str">
        <f ca="1">IFERROR(__xludf.DUMMYFUNCTION("""COMPUTED_VALUE"""),"ตรวจสอบการนำจ่าย")</f>
        <v>ตรวจสอบการนำจ่าย</v>
      </c>
      <c r="H170" s="1" t="str">
        <f ca="1">IFERROR(__xludf.DUMMYFUNCTION("""COMPUTED_VALUE"""),"ผู้ส่งขอเปลื่อนเบอร์โทรศัพย์ใหม่")</f>
        <v>ผู้ส่งขอเปลื่อนเบอร์โทรศัพย์ใหม่</v>
      </c>
      <c r="I170" s="1" t="str">
        <f ca="1">IFERROR(__xludf.DUMMYFUNCTION("""COMPUTED_VALUE"""),"เปลื่อนเบอร์ไม่ทัน เจ้าหน้าที่ทำคืนผู้ฝากส่งแล้ว")</f>
        <v>เปลื่อนเบอร์ไม่ทัน เจ้าหน้าที่ทำคืนผู้ฝากส่งแล้ว</v>
      </c>
      <c r="J170" s="1" t="str">
        <f ca="1">IFERROR(__xludf.DUMMYFUNCTION("""COMPUTED_VALUE"""),"DB2")</f>
        <v>DB2</v>
      </c>
      <c r="K170" s="1" t="str">
        <f ca="1">IFERROR(__xludf.DUMMYFUNCTION("""COMPUTED_VALUE"""),"EMS10260EVD2001")</f>
        <v>EMS10260EVD2001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5.75" customHeight="1" x14ac:dyDescent="0.2">
      <c r="A171" s="7">
        <f ca="1">IFERROR(__xludf.DUMMYFUNCTION("""COMPUTED_VALUE"""),243567.6434375)</f>
        <v>243567.6434375</v>
      </c>
      <c r="B171" s="1" t="str">
        <f ca="1">IFERROR(__xludf.DUMMYFUNCTION("""COMPUTED_VALUE"""),"CEC")</f>
        <v>CEC</v>
      </c>
      <c r="C171" s="1" t="str">
        <f ca="1">IFERROR(__xludf.DUMMYFUNCTION("""COMPUTED_VALUE"""),"ed946923641th")</f>
        <v>ed946923641th</v>
      </c>
      <c r="D171" s="1" t="str">
        <f ca="1">IFERROR(__xludf.DUMMYFUNCTION("""COMPUTED_VALUE"""),"กมล")</f>
        <v>กมล</v>
      </c>
      <c r="E171" s="1" t="str">
        <f ca="1">IFERROR(__xludf.DUMMYFUNCTION("""COMPUTED_VALUE"""),"065-2395191")</f>
        <v>065-2395191</v>
      </c>
      <c r="F171" s="1" t="str">
        <f ca="1">IFERROR(__xludf.DUMMYFUNCTION("""COMPUTED_VALUE"""),"545/91 คอนโดลุมพินีลาซาน-แบริ่ง ซ.105")</f>
        <v>545/91 คอนโดลุมพินีลาซาน-แบริ่ง ซ.105</v>
      </c>
      <c r="G171" s="1" t="str">
        <f ca="1">IFERROR(__xludf.DUMMYFUNCTION("""COMPUTED_VALUE"""),"ตรวจสอบการนำจ่าย")</f>
        <v>ตรวจสอบการนำจ่าย</v>
      </c>
      <c r="H171" s="1" t="str">
        <f ca="1">IFERROR(__xludf.DUMMYFUNCTION("""COMPUTED_VALUE"""),"-")</f>
        <v>-</v>
      </c>
      <c r="I171" s="1" t="str">
        <f ca="1">IFERROR(__xludf.DUMMYFUNCTION("""COMPUTED_VALUE"""),"-")</f>
        <v>-</v>
      </c>
      <c r="J171" s="1" t="str">
        <f ca="1">IFERROR(__xludf.DUMMYFUNCTION("""COMPUTED_VALUE"""),"นำจ่ายรถยนต์")</f>
        <v>นำจ่ายรถยนต์</v>
      </c>
      <c r="K171" s="1" t="str">
        <f ca="1">IFERROR(__xludf.DUMMYFUNCTION("""COMPUTED_VALUE"""),"CAR10260EVD5006")</f>
        <v>CAR10260EVD5006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15.75" customHeight="1" x14ac:dyDescent="0.2">
      <c r="A172" s="7">
        <f ca="1">IFERROR(__xludf.DUMMYFUNCTION("""COMPUTED_VALUE"""),243567.644722222)</f>
        <v>243567.644722222</v>
      </c>
      <c r="B172" s="1" t="str">
        <f ca="1">IFERROR(__xludf.DUMMYFUNCTION("""COMPUTED_VALUE"""),"CEC")</f>
        <v>CEC</v>
      </c>
      <c r="C172" s="1" t="str">
        <f ca="1">IFERROR(__xludf.DUMMYFUNCTION("""COMPUTED_VALUE"""),"ed943227205th")</f>
        <v>ed943227205th</v>
      </c>
      <c r="D172" s="1" t="str">
        <f ca="1">IFERROR(__xludf.DUMMYFUNCTION("""COMPUTED_VALUE"""),"จุฬาภรณ์ ")</f>
        <v xml:space="preserve">จุฬาภรณ์ </v>
      </c>
      <c r="E172" s="1" t="str">
        <f ca="1">IFERROR(__xludf.DUMMYFUNCTION("""COMPUTED_VALUE"""),"063-2566446")</f>
        <v>063-2566446</v>
      </c>
      <c r="F172" s="1" t="str">
        <f ca="1">IFERROR(__xludf.DUMMYFUNCTION("""COMPUTED_VALUE"""),"58/1 ร้านวีไลน์คลีนิค โครงการบิสโซ่ บางนา ตราด23")</f>
        <v>58/1 ร้านวีไลน์คลีนิค โครงการบิสโซ่ บางนา ตราด23</v>
      </c>
      <c r="G172" s="1" t="str">
        <f ca="1">IFERROR(__xludf.DUMMYFUNCTION("""COMPUTED_VALUE"""),"ตรวจสอบการนำจ่าย")</f>
        <v>ตรวจสอบการนำจ่าย</v>
      </c>
      <c r="H172" s="1" t="str">
        <f ca="1">IFERROR(__xludf.DUMMYFUNCTION("""COMPUTED_VALUE"""),"-")</f>
        <v>-</v>
      </c>
      <c r="I172" s="1" t="str">
        <f ca="1">IFERROR(__xludf.DUMMYFUNCTION("""COMPUTED_VALUE"""),"-")</f>
        <v>-</v>
      </c>
      <c r="J172" s="1" t="str">
        <f ca="1">IFERROR(__xludf.DUMMYFUNCTION("""COMPUTED_VALUE"""),"DB2")</f>
        <v>DB2</v>
      </c>
      <c r="K172" s="1" t="str">
        <f ca="1">IFERROR(__xludf.DUMMYFUNCTION("""COMPUTED_VALUE"""),"EMS10260EVD2017")</f>
        <v>EMS10260EVD2017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5.75" customHeight="1" x14ac:dyDescent="0.2">
      <c r="A173" s="7">
        <f ca="1">IFERROR(__xludf.DUMMYFUNCTION("""COMPUTED_VALUE"""),243567.646423611)</f>
        <v>243567.646423611</v>
      </c>
      <c r="B173" s="1" t="str">
        <f ca="1">IFERROR(__xludf.DUMMYFUNCTION("""COMPUTED_VALUE"""),"CEC")</f>
        <v>CEC</v>
      </c>
      <c r="C173" s="1" t="str">
        <f ca="1">IFERROR(__xludf.DUMMYFUNCTION("""COMPUTED_VALUE"""),"ed943227205th")</f>
        <v>ed943227205th</v>
      </c>
      <c r="D173" s="1" t="str">
        <f ca="1">IFERROR(__xludf.DUMMYFUNCTION("""COMPUTED_VALUE"""),"ชัยวัฒน์ (COD.2980 บาท)")</f>
        <v>ชัยวัฒน์ (COD.2980 บาท)</v>
      </c>
      <c r="E173" s="1" t="str">
        <f ca="1">IFERROR(__xludf.DUMMYFUNCTION("""COMPUTED_VALUE"""),"094-5278652")</f>
        <v>094-5278652</v>
      </c>
      <c r="F173" s="1" t="str">
        <f ca="1">IFERROR(__xludf.DUMMYFUNCTION("""COMPUTED_VALUE"""),"900/119 บ้านแสนสุข ซ.อุดมสุข 26 ซ.103")</f>
        <v>900/119 บ้านแสนสุข ซ.อุดมสุข 26 ซ.103</v>
      </c>
      <c r="G173" s="1" t="str">
        <f ca="1">IFERROR(__xludf.DUMMYFUNCTION("""COMPUTED_VALUE"""),"นำจ่ายใหม่")</f>
        <v>นำจ่ายใหม่</v>
      </c>
      <c r="H173" s="1" t="str">
        <f ca="1">IFERROR(__xludf.DUMMYFUNCTION("""COMPUTED_VALUE"""),"-")</f>
        <v>-</v>
      </c>
      <c r="I173" s="1" t="str">
        <f ca="1">IFERROR(__xludf.DUMMYFUNCTION("""COMPUTED_VALUE"""),"-")</f>
        <v>-</v>
      </c>
      <c r="J173" s="1" t="str">
        <f ca="1">IFERROR(__xludf.DUMMYFUNCTION("""COMPUTED_VALUE"""),"DB2")</f>
        <v>DB2</v>
      </c>
      <c r="K173" s="1" t="str">
        <f ca="1">IFERROR(__xludf.DUMMYFUNCTION("""COMPUTED_VALUE"""),"EMS10260EVD2017")</f>
        <v>EMS10260EVD2017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15.75" customHeight="1" x14ac:dyDescent="0.2">
      <c r="A174" s="7">
        <f ca="1">IFERROR(__xludf.DUMMYFUNCTION("""COMPUTED_VALUE"""),243567.647569444)</f>
        <v>243567.647569444</v>
      </c>
      <c r="B174" s="1" t="str">
        <f ca="1">IFERROR(__xludf.DUMMYFUNCTION("""COMPUTED_VALUE"""),"CEC")</f>
        <v>CEC</v>
      </c>
      <c r="C174" s="1" t="str">
        <f ca="1">IFERROR(__xludf.DUMMYFUNCTION("""COMPUTED_VALUE"""),"eo327756583th")</f>
        <v>eo327756583th</v>
      </c>
      <c r="D174" s="1" t="str">
        <f ca="1">IFERROR(__xludf.DUMMYFUNCTION("""COMPUTED_VALUE"""),"ปราณี")</f>
        <v>ปราณี</v>
      </c>
      <c r="E174" s="1" t="str">
        <f ca="1">IFERROR(__xludf.DUMMYFUNCTION("""COMPUTED_VALUE"""),"082-5605848")</f>
        <v>082-5605848</v>
      </c>
      <c r="F174" s="1" t="str">
        <f ca="1">IFERROR(__xludf.DUMMYFUNCTION("""COMPUTED_VALUE"""),"170 ซอย.สุขุมวิท 95/1")</f>
        <v>170 ซอย.สุขุมวิท 95/1</v>
      </c>
      <c r="G174" s="1" t="str">
        <f ca="1">IFERROR(__xludf.DUMMYFUNCTION("""COMPUTED_VALUE"""),"นำจ่ายใหม่")</f>
        <v>นำจ่ายใหม่</v>
      </c>
      <c r="H174" s="1" t="str">
        <f ca="1">IFERROR(__xludf.DUMMYFUNCTION("""COMPUTED_VALUE"""),"พาสสปอร์ต")</f>
        <v>พาสสปอร์ต</v>
      </c>
      <c r="I174" s="1"/>
      <c r="J174" s="1" t="str">
        <f ca="1">IFERROR(__xludf.DUMMYFUNCTION("""COMPUTED_VALUE"""),"DB4")</f>
        <v>DB4</v>
      </c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15.75" customHeight="1" x14ac:dyDescent="0.2">
      <c r="A175" s="7">
        <f ca="1">IFERROR(__xludf.DUMMYFUNCTION("""COMPUTED_VALUE"""),243567.648148148)</f>
        <v>243567.648148148</v>
      </c>
      <c r="B175" s="1" t="str">
        <f ca="1">IFERROR(__xludf.DUMMYFUNCTION("""COMPUTED_VALUE"""),"CEC")</f>
        <v>CEC</v>
      </c>
      <c r="C175" s="1" t="str">
        <f ca="1">IFERROR(__xludf.DUMMYFUNCTION("""COMPUTED_VALUE"""),"eo327757914th")</f>
        <v>eo327757914th</v>
      </c>
      <c r="D175" s="1" t="str">
        <f ca="1">IFERROR(__xludf.DUMMYFUNCTION("""COMPUTED_VALUE"""),"ปราณี")</f>
        <v>ปราณี</v>
      </c>
      <c r="E175" s="1" t="str">
        <f ca="1">IFERROR(__xludf.DUMMYFUNCTION("""COMPUTED_VALUE"""),"082-5605848")</f>
        <v>082-5605848</v>
      </c>
      <c r="F175" s="1" t="str">
        <f ca="1">IFERROR(__xludf.DUMMYFUNCTION("""COMPUTED_VALUE"""),"170 ซอย.สุขมวิท 95/1")</f>
        <v>170 ซอย.สุขมวิท 95/1</v>
      </c>
      <c r="G175" s="1" t="str">
        <f ca="1">IFERROR(__xludf.DUMMYFUNCTION("""COMPUTED_VALUE"""),"นำจ่ายใหม่")</f>
        <v>นำจ่ายใหม่</v>
      </c>
      <c r="H175" s="1" t="str">
        <f ca="1">IFERROR(__xludf.DUMMYFUNCTION("""COMPUTED_VALUE"""),"พาสสปอร์ต")</f>
        <v>พาสสปอร์ต</v>
      </c>
      <c r="I175" s="1"/>
      <c r="J175" s="1" t="str">
        <f ca="1">IFERROR(__xludf.DUMMYFUNCTION("""COMPUTED_VALUE"""),"DB3")</f>
        <v>DB3</v>
      </c>
      <c r="K175" s="1" t="str">
        <f ca="1">IFERROR(__xludf.DUMMYFUNCTION("""COMPUTED_VALUE"""),"EMS10260EVD3013")</f>
        <v>EMS10260EVD3013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15.75" customHeight="1" x14ac:dyDescent="0.2">
      <c r="A176" s="7">
        <f ca="1">IFERROR(__xludf.DUMMYFUNCTION("""COMPUTED_VALUE"""),243567.650694444)</f>
        <v>243567.65069444399</v>
      </c>
      <c r="B176" s="1" t="str">
        <f ca="1">IFERROR(__xludf.DUMMYFUNCTION("""COMPUTED_VALUE"""),"CEC")</f>
        <v>CEC</v>
      </c>
      <c r="C176" s="1" t="str">
        <f ca="1">IFERROR(__xludf.DUMMYFUNCTION("""COMPUTED_VALUE"""),"en284933296jp")</f>
        <v>en284933296jp</v>
      </c>
      <c r="D176" s="1" t="str">
        <f ca="1">IFERROR(__xludf.DUMMYFUNCTION("""COMPUTED_VALUE"""),"ซาโตชิ โนซากิ")</f>
        <v>ซาโตชิ โนซากิ</v>
      </c>
      <c r="E176" s="1" t="str">
        <f ca="1">IFERROR(__xludf.DUMMYFUNCTION("""COMPUTED_VALUE"""),"-")</f>
        <v>-</v>
      </c>
      <c r="F176" s="1" t="str">
        <f ca="1">IFERROR(__xludf.DUMMYFUNCTION("""COMPUTED_VALUE"""),"662/22 คอนโด blesstown ซ.สุขุมวิท 50")</f>
        <v>662/22 คอนโด blesstown ซ.สุขุมวิท 50</v>
      </c>
      <c r="G176" s="1" t="str">
        <f ca="1">IFERROR(__xludf.DUMMYFUNCTION("""COMPUTED_VALUE"""),"ตรวจสอบการนำจ่าย")</f>
        <v>ตรวจสอบการนำจ่าย</v>
      </c>
      <c r="H176" s="1" t="str">
        <f ca="1">IFERROR(__xludf.DUMMYFUNCTION("""COMPUTED_VALUE"""),"ต่างประเทศ")</f>
        <v>ต่างประเทศ</v>
      </c>
      <c r="I176" s="1" t="str">
        <f ca="1">IFERROR(__xludf.DUMMYFUNCTION("""COMPUTED_VALUE"""),"-")</f>
        <v>-</v>
      </c>
      <c r="J176" s="1" t="str">
        <f ca="1">IFERROR(__xludf.DUMMYFUNCTION("""COMPUTED_VALUE"""),"DB4")</f>
        <v>DB4</v>
      </c>
      <c r="K176" s="1" t="str">
        <f ca="1">IFERROR(__xludf.DUMMYFUNCTION("""COMPUTED_VALUE"""),"EMS10260EVD4020")</f>
        <v>EMS10260EVD4020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5.75" customHeight="1" x14ac:dyDescent="0.2">
      <c r="A177" s="7">
        <f ca="1">IFERROR(__xludf.DUMMYFUNCTION("""COMPUTED_VALUE"""),243567.651759259)</f>
        <v>243567.651759259</v>
      </c>
      <c r="B177" s="1" t="str">
        <f ca="1">IFERROR(__xludf.DUMMYFUNCTION("""COMPUTED_VALUE"""),"CEC")</f>
        <v>CEC</v>
      </c>
      <c r="C177" s="1" t="str">
        <f ca="1">IFERROR(__xludf.DUMMYFUNCTION("""COMPUTED_VALUE"""),"en285842971jp")</f>
        <v>en285842971jp</v>
      </c>
      <c r="D177" s="1" t="str">
        <f ca="1">IFERROR(__xludf.DUMMYFUNCTION("""COMPUTED_VALUE"""),"ซาโตชิ โนซากิ")</f>
        <v>ซาโตชิ โนซากิ</v>
      </c>
      <c r="E177" s="1" t="str">
        <f ca="1">IFERROR(__xludf.DUMMYFUNCTION("""COMPUTED_VALUE"""),"-")</f>
        <v>-</v>
      </c>
      <c r="F177" s="1" t="str">
        <f ca="1">IFERROR(__xludf.DUMMYFUNCTION("""COMPUTED_VALUE"""),"662/22 คอนโด blesstown ซ.สุขุมวิท 50")</f>
        <v>662/22 คอนโด blesstown ซ.สุขุมวิท 50</v>
      </c>
      <c r="G177" s="1" t="str">
        <f ca="1">IFERROR(__xludf.DUMMYFUNCTION("""COMPUTED_VALUE"""),"ตรวจสอบการนำจ่าย")</f>
        <v>ตรวจสอบการนำจ่าย</v>
      </c>
      <c r="H177" s="1" t="str">
        <f ca="1">IFERROR(__xludf.DUMMYFUNCTION("""COMPUTED_VALUE"""),"ต่างประเทศ")</f>
        <v>ต่างประเทศ</v>
      </c>
      <c r="I177" s="1"/>
      <c r="J177" s="1" t="str">
        <f ca="1">IFERROR(__xludf.DUMMYFUNCTION("""COMPUTED_VALUE"""),"DB4")</f>
        <v>DB4</v>
      </c>
      <c r="K177" s="1" t="str">
        <f ca="1">IFERROR(__xludf.DUMMYFUNCTION("""COMPUTED_VALUE"""),"EMS10260EVD4020")</f>
        <v>EMS10260EVD4020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5.75" customHeight="1" x14ac:dyDescent="0.2">
      <c r="A178" s="7">
        <f ca="1">IFERROR(__xludf.DUMMYFUNCTION("""COMPUTED_VALUE"""),243567.653344907)</f>
        <v>243567.65334490701</v>
      </c>
      <c r="B178" s="1" t="str">
        <f ca="1">IFERROR(__xludf.DUMMYFUNCTION("""COMPUTED_VALUE"""),"CEC")</f>
        <v>CEC</v>
      </c>
      <c r="C178" s="1" t="str">
        <f ca="1">IFERROR(__xludf.DUMMYFUNCTION("""COMPUTED_VALUE"""),"ej940062192th")</f>
        <v>ej940062192th</v>
      </c>
      <c r="D178" s="1" t="str">
        <f ca="1">IFERROR(__xludf.DUMMYFUNCTION("""COMPUTED_VALUE"""),"-")</f>
        <v>-</v>
      </c>
      <c r="E178" s="1" t="str">
        <f ca="1">IFERROR(__xludf.DUMMYFUNCTION("""COMPUTED_VALUE"""),"065-1193922")</f>
        <v>065-1193922</v>
      </c>
      <c r="F178" s="1" t="str">
        <f ca="1">IFERROR(__xludf.DUMMYFUNCTION("""COMPUTED_VALUE"""),"909 บ.นิปปอนสตีลเอ็นจิเนียริ่ง อ.แอมเพิ้ลทาวฯ")</f>
        <v>909 บ.นิปปอนสตีลเอ็นจิเนียริ่ง อ.แอมเพิ้ลทาวฯ</v>
      </c>
      <c r="G178" s="1" t="str">
        <f ca="1">IFERROR(__xludf.DUMMYFUNCTION("""COMPUTED_VALUE"""),"ตรวจสอบการนำจ่าย")</f>
        <v>ตรวจสอบการนำจ่าย</v>
      </c>
      <c r="H178" s="1" t="str">
        <f ca="1">IFERROR(__xludf.DUMMYFUNCTION("""COMPUTED_VALUE"""),"-")</f>
        <v>-</v>
      </c>
      <c r="I178" s="1" t="str">
        <f ca="1">IFERROR(__xludf.DUMMYFUNCTION("""COMPUTED_VALUE"""),"-")</f>
        <v>-</v>
      </c>
      <c r="J178" s="1" t="str">
        <f ca="1">IFERROR(__xludf.DUMMYFUNCTION("""COMPUTED_VALUE"""),"นำจ่ายรถยนต์")</f>
        <v>นำจ่ายรถยนต์</v>
      </c>
      <c r="K178" s="1" t="str">
        <f ca="1">IFERROR(__xludf.DUMMYFUNCTION("""COMPUTED_VALUE"""),"CAR10260EVD5007")</f>
        <v>CAR10260EVD5007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15.75" customHeight="1" x14ac:dyDescent="0.2">
      <c r="A179" s="7">
        <f ca="1">IFERROR(__xludf.DUMMYFUNCTION("""COMPUTED_VALUE"""),243567.685567129)</f>
        <v>243567.685567129</v>
      </c>
      <c r="B179" s="1" t="str">
        <f ca="1">IFERROR(__xludf.DUMMYFUNCTION("""COMPUTED_VALUE"""),"CEC")</f>
        <v>CEC</v>
      </c>
      <c r="C179" s="1" t="str">
        <f ca="1">IFERROR(__xludf.DUMMYFUNCTION("""COMPUTED_VALUE"""),"ef151106255th")</f>
        <v>ef151106255th</v>
      </c>
      <c r="D179" s="1" t="str">
        <f ca="1">IFERROR(__xludf.DUMMYFUNCTION("""COMPUTED_VALUE"""),"อรรควิทย์ (COD.390 บาท)")</f>
        <v>อรรควิทย์ (COD.390 บาท)</v>
      </c>
      <c r="E179" s="1" t="str">
        <f ca="1">IFERROR(__xludf.DUMMYFUNCTION("""COMPUTED_VALUE"""),"092-9893526")</f>
        <v>092-9893526</v>
      </c>
      <c r="F179" s="1" t="str">
        <f ca="1">IFERROR(__xludf.DUMMYFUNCTION("""COMPUTED_VALUE"""),"26 บ.กลาง 26 ซอย.สุขุมวิท 64/2")</f>
        <v>26 บ.กลาง 26 ซอย.สุขุมวิท 64/2</v>
      </c>
      <c r="G179" s="1" t="str">
        <f ca="1">IFERROR(__xludf.DUMMYFUNCTION("""COMPUTED_VALUE"""),"ตรวจสอบการนำจ่าย")</f>
        <v>ตรวจสอบการนำจ่าย</v>
      </c>
      <c r="H179" s="1" t="str">
        <f ca="1">IFERROR(__xludf.DUMMYFUNCTION("""COMPUTED_VALUE"""),"--")</f>
        <v>--</v>
      </c>
      <c r="I179" s="1" t="str">
        <f ca="1">IFERROR(__xludf.DUMMYFUNCTION("""COMPUTED_VALUE"""),"-")</f>
        <v>-</v>
      </c>
      <c r="J179" s="1" t="str">
        <f ca="1">IFERROR(__xludf.DUMMYFUNCTION("""COMPUTED_VALUE"""),"DB4")</f>
        <v>DB4</v>
      </c>
      <c r="K179" s="1" t="str">
        <f ca="1">IFERROR(__xludf.DUMMYFUNCTION("""COMPUTED_VALUE"""),"EMS10260EVD4003")</f>
        <v>EMS10260EVD4003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15.75" customHeight="1" x14ac:dyDescent="0.2">
      <c r="A180" s="7">
        <f ca="1">IFERROR(__xludf.DUMMYFUNCTION("""COMPUTED_VALUE"""),243568.450844907)</f>
        <v>243568.450844907</v>
      </c>
      <c r="B180" s="1" t="str">
        <f ca="1">IFERROR(__xludf.DUMMYFUNCTION("""COMPUTED_VALUE"""),"CEC")</f>
        <v>CEC</v>
      </c>
      <c r="C180" s="1" t="str">
        <f ca="1">IFERROR(__xludf.DUMMYFUNCTION("""COMPUTED_VALUE"""),"eb869667127th")</f>
        <v>eb869667127th</v>
      </c>
      <c r="D180" s="1" t="str">
        <f ca="1">IFERROR(__xludf.DUMMYFUNCTION("""COMPUTED_VALUE"""),"เพ็ญนภา")</f>
        <v>เพ็ญนภา</v>
      </c>
      <c r="E180" s="1" t="str">
        <f ca="1">IFERROR(__xludf.DUMMYFUNCTION("""COMPUTED_VALUE"""),"0822384121")</f>
        <v>0822384121</v>
      </c>
      <c r="F180" s="1" t="str">
        <f ca="1">IFERROR(__xludf.DUMMYFUNCTION("""COMPUTED_VALUE"""),"120/606  สุขุมวิทย์ 12  ")</f>
        <v xml:space="preserve">120/606  สุขุมวิทย์ 12  </v>
      </c>
      <c r="G180" s="1" t="str">
        <f ca="1">IFERROR(__xludf.DUMMYFUNCTION("""COMPUTED_VALUE"""),"นำจ่ายใหม่")</f>
        <v>นำจ่ายใหม่</v>
      </c>
      <c r="H180" s="1" t="str">
        <f ca="1">IFERROR(__xludf.DUMMYFUNCTION("""COMPUTED_VALUE"""),"ออกใบแจ้งเมื่อ9/11/66")</f>
        <v>ออกใบแจ้งเมื่อ9/11/66</v>
      </c>
      <c r="I180" s="1"/>
      <c r="J180" s="1" t="str">
        <f ca="1">IFERROR(__xludf.DUMMYFUNCTION("""COMPUTED_VALUE"""),"DB2")</f>
        <v>DB2</v>
      </c>
      <c r="K180" s="1" t="str">
        <f ca="1">IFERROR(__xludf.DUMMYFUNCTION("""COMPUTED_VALUE"""),"EMS10260EVD2023")</f>
        <v>EMS10260EVD2023</v>
      </c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15.75" customHeight="1" x14ac:dyDescent="0.2">
      <c r="A181" s="7">
        <f ca="1">IFERROR(__xludf.DUMMYFUNCTION("""COMPUTED_VALUE"""),243568.455798611)</f>
        <v>243568.45579861099</v>
      </c>
      <c r="B181" s="1" t="str">
        <f ca="1">IFERROR(__xludf.DUMMYFUNCTION("""COMPUTED_VALUE"""),"CEC")</f>
        <v>CEC</v>
      </c>
      <c r="C181" s="1" t="str">
        <f ca="1">IFERROR(__xludf.DUMMYFUNCTION("""COMPUTED_VALUE"""),"ej041353020th")</f>
        <v>ej041353020th</v>
      </c>
      <c r="D181" s="1" t="str">
        <f ca="1">IFERROR(__xludf.DUMMYFUNCTION("""COMPUTED_VALUE"""),"คุณพัชรภรณ์")</f>
        <v>คุณพัชรภรณ์</v>
      </c>
      <c r="E181" s="1" t="str">
        <f ca="1">IFERROR(__xludf.DUMMYFUNCTION("""COMPUTED_VALUE"""),"0942341858")</f>
        <v>0942341858</v>
      </c>
      <c r="F181" s="1" t="str">
        <f ca="1">IFERROR(__xludf.DUMMYFUNCTION("""COMPUTED_VALUE"""),"222  บ้าน ณ.อุดมสุข")</f>
        <v>222  บ้าน ณ.อุดมสุข</v>
      </c>
      <c r="G181" s="1" t="str">
        <f ca="1">IFERROR(__xludf.DUMMYFUNCTION("""COMPUTED_VALUE"""),"นำจ่ายใหม่")</f>
        <v>นำจ่ายใหม่</v>
      </c>
      <c r="H181" s="1" t="str">
        <f ca="1">IFERROR(__xludf.DUMMYFUNCTION("""COMPUTED_VALUE"""),"ผู้รับติดต่อขอรับเอง")</f>
        <v>ผู้รับติดต่อขอรับเอง</v>
      </c>
      <c r="I181" s="1" t="str">
        <f ca="1">IFERROR(__xludf.DUMMYFUNCTION("""COMPUTED_VALUE"""),"แจ้งเจ้าหน้าที่ผู้เกี่ยวข้องแล้ว")</f>
        <v>แจ้งเจ้าหน้าที่ผู้เกี่ยวข้องแล้ว</v>
      </c>
      <c r="J181" s="1" t="str">
        <f ca="1">IFERROR(__xludf.DUMMYFUNCTION("""COMPUTED_VALUE"""),"นำจ่ายรถยนต์")</f>
        <v>นำจ่ายรถยนต์</v>
      </c>
      <c r="K181" s="1" t="str">
        <f ca="1">IFERROR(__xludf.DUMMYFUNCTION("""COMPUTED_VALUE"""),"ZNE10260EVD5001")</f>
        <v>ZNE10260EVD5001</v>
      </c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15.75" customHeight="1" x14ac:dyDescent="0.2">
      <c r="A182" s="7">
        <f ca="1">IFERROR(__xludf.DUMMYFUNCTION("""COMPUTED_VALUE"""),243568.457349537)</f>
        <v>243568.457349537</v>
      </c>
      <c r="B182" s="1" t="str">
        <f ca="1">IFERROR(__xludf.DUMMYFUNCTION("""COMPUTED_VALUE"""),"CEC")</f>
        <v>CEC</v>
      </c>
      <c r="C182" s="1" t="str">
        <f ca="1">IFERROR(__xludf.DUMMYFUNCTION("""COMPUTED_VALUE"""),"ed908195775th")</f>
        <v>ed908195775th</v>
      </c>
      <c r="D182" s="1" t="str">
        <f ca="1">IFERROR(__xludf.DUMMYFUNCTION("""COMPUTED_VALUE"""),"น้ำฝน")</f>
        <v>น้ำฝน</v>
      </c>
      <c r="E182" s="1" t="str">
        <f ca="1">IFERROR(__xludf.DUMMYFUNCTION("""COMPUTED_VALUE"""),"0922956966")</f>
        <v>0922956966</v>
      </c>
      <c r="F182" s="1" t="str">
        <f ca="1">IFERROR(__xludf.DUMMYFUNCTION("""COMPUTED_VALUE"""),"838/144  คอนโดเมย์แฟเพลส")</f>
        <v>838/144  คอนโดเมย์แฟเพลส</v>
      </c>
      <c r="G182" s="1" t="str">
        <f ca="1">IFERROR(__xludf.DUMMYFUNCTION("""COMPUTED_VALUE"""),"นำจ่ายใหม่")</f>
        <v>นำจ่ายใหม่</v>
      </c>
      <c r="H182" s="1" t="str">
        <f ca="1">IFERROR(__xludf.DUMMYFUNCTION("""COMPUTED_VALUE"""),"ผู้รับจะติดต่อขอรับเอง")</f>
        <v>ผู้รับจะติดต่อขอรับเอง</v>
      </c>
      <c r="I182" s="1" t="str">
        <f ca="1">IFERROR(__xludf.DUMMYFUNCTION("""COMPUTED_VALUE"""),"แจ้งเจ้าหน้าผู้เกี่ยวข้องแล้ว")</f>
        <v>แจ้งเจ้าหน้าผู้เกี่ยวข้องแล้ว</v>
      </c>
      <c r="J182" s="1" t="str">
        <f ca="1">IFERROR(__xludf.DUMMYFUNCTION("""COMPUTED_VALUE"""),"นำจ่ายรถยนต์")</f>
        <v>นำจ่ายรถยนต์</v>
      </c>
      <c r="K182" s="1" t="str">
        <f ca="1">IFERROR(__xludf.DUMMYFUNCTION("""COMPUTED_VALUE"""),"CAR10260EVD5002")</f>
        <v>CAR10260EVD5002</v>
      </c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15.75" customHeight="1" x14ac:dyDescent="0.2">
      <c r="A183" s="7">
        <f ca="1">IFERROR(__xludf.DUMMYFUNCTION("""COMPUTED_VALUE"""),243568.469664351)</f>
        <v>243568.469664351</v>
      </c>
      <c r="B183" s="1" t="str">
        <f ca="1">IFERROR(__xludf.DUMMYFUNCTION("""COMPUTED_VALUE"""),"CEC")</f>
        <v>CEC</v>
      </c>
      <c r="C183" s="1" t="str">
        <f ca="1">IFERROR(__xludf.DUMMYFUNCTION("""COMPUTED_VALUE"""),"ED871457847TH")</f>
        <v>ED871457847TH</v>
      </c>
      <c r="D183" s="1" t="str">
        <f ca="1">IFERROR(__xludf.DUMMYFUNCTION("""COMPUTED_VALUE"""),"สริตา")</f>
        <v>สริตา</v>
      </c>
      <c r="E183" s="1" t="str">
        <f ca="1">IFERROR(__xludf.DUMMYFUNCTION("""COMPUTED_VALUE"""),"083-7343213")</f>
        <v>083-7343213</v>
      </c>
      <c r="F183" s="1" t="str">
        <f ca="1">IFERROR(__xludf.DUMMYFUNCTION("""COMPUTED_VALUE"""),"90/45 สุขุมวิท 81")</f>
        <v>90/45 สุขุมวิท 81</v>
      </c>
      <c r="G183" s="1" t="str">
        <f ca="1">IFERROR(__xludf.DUMMYFUNCTION("""COMPUTED_VALUE"""),"ตรวจสอบการนำจ่าย")</f>
        <v>ตรวจสอบการนำจ่าย</v>
      </c>
      <c r="H183" s="1" t="str">
        <f ca="1">IFERROR(__xludf.DUMMYFUNCTION("""COMPUTED_VALUE"""),"นำจ่าย 10/11/66")</f>
        <v>นำจ่าย 10/11/66</v>
      </c>
      <c r="I183" s="1" t="str">
        <f ca="1">IFERROR(__xludf.DUMMYFUNCTION("""COMPUTED_VALUE"""),"ตรวจสอบเพิ่มเติม ล/ค ได้รับแล้ว")</f>
        <v>ตรวจสอบเพิ่มเติม ล/ค ได้รับแล้ว</v>
      </c>
      <c r="J183" s="1" t="str">
        <f ca="1">IFERROR(__xludf.DUMMYFUNCTION("""COMPUTED_VALUE"""),"DB3")</f>
        <v>DB3</v>
      </c>
      <c r="K183" s="1" t="str">
        <f ca="1">IFERROR(__xludf.DUMMYFUNCTION("""COMPUTED_VALUE"""),"EMS10260EVD3005")</f>
        <v>EMS10260EVD3005</v>
      </c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15.75" customHeight="1" x14ac:dyDescent="0.2">
      <c r="A184" s="7">
        <f ca="1">IFERROR(__xludf.DUMMYFUNCTION("""COMPUTED_VALUE"""),243568.484224537)</f>
        <v>243568.48422453701</v>
      </c>
      <c r="B184" s="1" t="str">
        <f ca="1">IFERROR(__xludf.DUMMYFUNCTION("""COMPUTED_VALUE"""),"CEC")</f>
        <v>CEC</v>
      </c>
      <c r="C184" s="1" t="str">
        <f ca="1">IFERROR(__xludf.DUMMYFUNCTION("""COMPUTED_VALUE"""),"ED869997432TH")</f>
        <v>ED869997432TH</v>
      </c>
      <c r="D184" s="1" t="str">
        <f ca="1">IFERROR(__xludf.DUMMYFUNCTION("""COMPUTED_VALUE"""),"สุฟียานี")</f>
        <v>สุฟียานี</v>
      </c>
      <c r="E184" s="1" t="str">
        <f ca="1">IFERROR(__xludf.DUMMYFUNCTION("""COMPUTED_VALUE"""),"098-4398626")</f>
        <v>098-4398626</v>
      </c>
      <c r="F184" s="1" t="str">
        <f ca="1">IFERROR(__xludf.DUMMYFUNCTION("""COMPUTED_VALUE"""),"6299/0-19 ริเวอร์แมนชั่น")</f>
        <v>6299/0-19 ริเวอร์แมนชั่น</v>
      </c>
      <c r="G184" s="1" t="str">
        <f ca="1">IFERROR(__xludf.DUMMYFUNCTION("""COMPUTED_VALUE"""),"ตรวจสอบการนำจ่าย")</f>
        <v>ตรวจสอบการนำจ่าย</v>
      </c>
      <c r="H184" s="1" t="str">
        <f ca="1">IFERROR(__xludf.DUMMYFUNCTION("""COMPUTED_VALUE"""),"ยังไม่มีสถานะการนำจ่าย")</f>
        <v>ยังไม่มีสถานะการนำจ่าย</v>
      </c>
      <c r="I184" s="1" t="str">
        <f ca="1">IFERROR(__xludf.DUMMYFUNCTION("""COMPUTED_VALUE"""),"แจ้งเจ้าหน้าที่เกี่ยวข้องแล้ว")</f>
        <v>แจ้งเจ้าหน้าที่เกี่ยวข้องแล้ว</v>
      </c>
      <c r="J184" s="1" t="str">
        <f ca="1">IFERROR(__xludf.DUMMYFUNCTION("""COMPUTED_VALUE"""),"DB4")</f>
        <v>DB4</v>
      </c>
      <c r="K184" s="1" t="str">
        <f ca="1">IFERROR(__xludf.DUMMYFUNCTION("""COMPUTED_VALUE"""),"EMS10260EVD4015")</f>
        <v>EMS10260EVD4015</v>
      </c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15.75" customHeight="1" x14ac:dyDescent="0.2">
      <c r="A185" s="7">
        <f ca="1">IFERROR(__xludf.DUMMYFUNCTION("""COMPUTED_VALUE"""),243568.487233796)</f>
        <v>243568.48723379601</v>
      </c>
      <c r="B185" s="1" t="str">
        <f ca="1">IFERROR(__xludf.DUMMYFUNCTION("""COMPUTED_VALUE"""),"CEC")</f>
        <v>CEC</v>
      </c>
      <c r="C185" s="1" t="str">
        <f ca="1">IFERROR(__xludf.DUMMYFUNCTION("""COMPUTED_VALUE"""),"EM244141444TH")</f>
        <v>EM244141444TH</v>
      </c>
      <c r="D185" s="1" t="str">
        <f ca="1">IFERROR(__xludf.DUMMYFUNCTION("""COMPUTED_VALUE"""),"อานันท์")</f>
        <v>อานันท์</v>
      </c>
      <c r="E185" s="1" t="str">
        <f ca="1">IFERROR(__xludf.DUMMYFUNCTION("""COMPUTED_VALUE"""),"094-3292671")</f>
        <v>094-3292671</v>
      </c>
      <c r="F185" s="1" t="str">
        <f ca="1">IFERROR(__xludf.DUMMYFUNCTION("""COMPUTED_VALUE"""),"548 ไม้อัดไทย")</f>
        <v>548 ไม้อัดไทย</v>
      </c>
      <c r="G185" s="1" t="str">
        <f ca="1">IFERROR(__xludf.DUMMYFUNCTION("""COMPUTED_VALUE"""),"ตรวจสอบการนำจ่าย")</f>
        <v>ตรวจสอบการนำจ่าย</v>
      </c>
      <c r="H185" s="1" t="str">
        <f ca="1">IFERROR(__xludf.DUMMYFUNCTION("""COMPUTED_VALUE"""),"นำจ่าย 10/11/2566")</f>
        <v>นำจ่าย 10/11/2566</v>
      </c>
      <c r="I185" s="1" t="str">
        <f ca="1">IFERROR(__xludf.DUMMYFUNCTION("""COMPUTED_VALUE"""),"แจ้งเจ้าหน้าที่ส่วนรับผิดชอบแล้ว")</f>
        <v>แจ้งเจ้าหน้าที่ส่วนรับผิดชอบแล้ว</v>
      </c>
      <c r="J185" s="1" t="str">
        <f ca="1">IFERROR(__xludf.DUMMYFUNCTION("""COMPUTED_VALUE"""),"DB2")</f>
        <v>DB2</v>
      </c>
      <c r="K185" s="1" t="str">
        <f ca="1">IFERROR(__xludf.DUMMYFUNCTION("""COMPUTED_VALUE"""),"EMS10260EVD2001")</f>
        <v>EMS10260EVD2001</v>
      </c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15.75" customHeight="1" x14ac:dyDescent="0.2">
      <c r="A186" s="7">
        <f ca="1">IFERROR(__xludf.DUMMYFUNCTION("""COMPUTED_VALUE"""),243568.493055555)</f>
        <v>243568.49305555501</v>
      </c>
      <c r="B186" s="1" t="str">
        <f ca="1">IFERROR(__xludf.DUMMYFUNCTION("""COMPUTED_VALUE"""),"On Queue")</f>
        <v>On Queue</v>
      </c>
      <c r="C186" s="1" t="str">
        <f ca="1">IFERROR(__xludf.DUMMYFUNCTION("""COMPUTED_VALUE"""),"EG211407569TH")</f>
        <v>EG211407569TH</v>
      </c>
      <c r="D186" s="1" t="str">
        <f ca="1">IFERROR(__xludf.DUMMYFUNCTION("""COMPUTED_VALUE"""),"พิกุล")</f>
        <v>พิกุล</v>
      </c>
      <c r="E186" s="1" t="str">
        <f ca="1">IFERROR(__xludf.DUMMYFUNCTION("""COMPUTED_VALUE"""),"084-8887638")</f>
        <v>084-8887638</v>
      </c>
      <c r="F186" s="1" t="str">
        <f ca="1">IFERROR(__xludf.DUMMYFUNCTION("""COMPUTED_VALUE"""),"1 หอพักแสงมณี บางนาตราด 19 แยก 7")</f>
        <v>1 หอพักแสงมณี บางนาตราด 19 แยก 7</v>
      </c>
      <c r="G186" s="1" t="str">
        <f ca="1">IFERROR(__xludf.DUMMYFUNCTION("""COMPUTED_VALUE"""),"ตรวจสอบการนำจ่าย")</f>
        <v>ตรวจสอบการนำจ่าย</v>
      </c>
      <c r="H186" s="1" t="str">
        <f ca="1">IFERROR(__xludf.DUMMYFUNCTION("""COMPUTED_VALUE"""),"แจ้งกำชับการนำจ่ายวันนี้ (ผู้รับพิการเป็นใบ้)")</f>
        <v>แจ้งกำชับการนำจ่ายวันนี้ (ผู้รับพิการเป็นใบ้)</v>
      </c>
      <c r="I186" s="1" t="str">
        <f ca="1">IFERROR(__xludf.DUMMYFUNCTION("""COMPUTED_VALUE"""),"ประสานเจ้าหน้าที่นำจ่ายเรียบร้อยแล้ว")</f>
        <v>ประสานเจ้าหน้าที่นำจ่ายเรียบร้อยแล้ว</v>
      </c>
      <c r="J186" s="1" t="str">
        <f ca="1">IFERROR(__xludf.DUMMYFUNCTION("""COMPUTED_VALUE"""),"DB2")</f>
        <v>DB2</v>
      </c>
      <c r="K186" s="1" t="str">
        <f ca="1">IFERROR(__xludf.DUMMYFUNCTION("""COMPUTED_VALUE"""),"EMS10260EVD2007")</f>
        <v>EMS10260EVD2007</v>
      </c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15.75" customHeight="1" x14ac:dyDescent="0.2">
      <c r="A187" s="7">
        <f ca="1">IFERROR(__xludf.DUMMYFUNCTION("""COMPUTED_VALUE"""),243568.529444444)</f>
        <v>243568.52944444399</v>
      </c>
      <c r="B187" s="1" t="str">
        <f ca="1">IFERROR(__xludf.DUMMYFUNCTION("""COMPUTED_VALUE"""),"On Queue")</f>
        <v>On Queue</v>
      </c>
      <c r="C187" s="1" t="str">
        <f ca="1">IFERROR(__xludf.DUMMYFUNCTION("""COMPUTED_VALUE"""),"RY710887575TH")</f>
        <v>RY710887575TH</v>
      </c>
      <c r="D187" s="1" t="str">
        <f ca="1">IFERROR(__xludf.DUMMYFUNCTION("""COMPUTED_VALUE"""),"สุขุมาพร")</f>
        <v>สุขุมาพร</v>
      </c>
      <c r="E187" s="1" t="str">
        <f ca="1">IFERROR(__xludf.DUMMYFUNCTION("""COMPUTED_VALUE"""),"065-8793642")</f>
        <v>065-8793642</v>
      </c>
      <c r="F187" s="1" t="str">
        <f ca="1">IFERROR(__xludf.DUMMYFUNCTION("""COMPUTED_VALUE"""),"345 รพ.ไทยนครินทร์")</f>
        <v>345 รพ.ไทยนครินทร์</v>
      </c>
      <c r="G187" s="1" t="str">
        <f ca="1">IFERROR(__xludf.DUMMYFUNCTION("""COMPUTED_VALUE"""),"ตรวจสอบการนำจ่าย")</f>
        <v>ตรวจสอบการนำจ่าย</v>
      </c>
      <c r="H187" s="1" t="str">
        <f ca="1">IFERROR(__xludf.DUMMYFUNCTION("""COMPUTED_VALUE"""),"ผู้รับแจ้งจะเข้ามารับสิ่งของเอง")</f>
        <v>ผู้รับแจ้งจะเข้ามารับสิ่งของเอง</v>
      </c>
      <c r="I187" s="1" t="str">
        <f ca="1">IFERROR(__xludf.DUMMYFUNCTION("""COMPUTED_VALUE"""),"แจ้งประสานเจ้าหน้าที่แล้ว")</f>
        <v>แจ้งประสานเจ้าหน้าที่แล้ว</v>
      </c>
      <c r="J187" s="1" t="str">
        <f ca="1">IFERROR(__xludf.DUMMYFUNCTION("""COMPUTED_VALUE"""),"นำจ่ายรถยนต์")</f>
        <v>นำจ่ายรถยนต์</v>
      </c>
      <c r="K187" s="1" t="str">
        <f ca="1">IFERROR(__xludf.DUMMYFUNCTION("""COMPUTED_VALUE"""),"CAR10260EVD5007")</f>
        <v>CAR10260EVD5007</v>
      </c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15.75" customHeight="1" x14ac:dyDescent="0.2">
      <c r="A188" s="7">
        <f ca="1">IFERROR(__xludf.DUMMYFUNCTION("""COMPUTED_VALUE"""),243568.533020833)</f>
        <v>243568.53302083301</v>
      </c>
      <c r="B188" s="1" t="str">
        <f ca="1">IFERROR(__xludf.DUMMYFUNCTION("""COMPUTED_VALUE"""),"CEC")</f>
        <v>CEC</v>
      </c>
      <c r="C188" s="1" t="str">
        <f ca="1">IFERROR(__xludf.DUMMYFUNCTION("""COMPUTED_VALUE"""),"EY935239966TH")</f>
        <v>EY935239966TH</v>
      </c>
      <c r="D188" s="1" t="str">
        <f ca="1">IFERROR(__xludf.DUMMYFUNCTION("""COMPUTED_VALUE"""),"นิธาน")</f>
        <v>นิธาน</v>
      </c>
      <c r="E188" s="1" t="str">
        <f ca="1">IFERROR(__xludf.DUMMYFUNCTION("""COMPUTED_VALUE"""),"087-7739886")</f>
        <v>087-7739886</v>
      </c>
      <c r="F188" s="1" t="str">
        <f ca="1">IFERROR(__xludf.DUMMYFUNCTION("""COMPUTED_VALUE"""),"653-655 ร้านขายที่นอน ระหว่างอุดมสุข 25-27")</f>
        <v>653-655 ร้านขายที่นอน ระหว่างอุดมสุข 25-27</v>
      </c>
      <c r="G188" s="1" t="str">
        <f ca="1">IFERROR(__xludf.DUMMYFUNCTION("""COMPUTED_VALUE"""),"นำจ่ายใหม่")</f>
        <v>นำจ่ายใหม่</v>
      </c>
      <c r="H188" s="1" t="str">
        <f ca="1">IFERROR(__xludf.DUMMYFUNCTION("""COMPUTED_VALUE"""),"บ้านปิด 11/11/2566")</f>
        <v>บ้านปิด 11/11/2566</v>
      </c>
      <c r="I188" s="1" t="str">
        <f ca="1">IFERROR(__xludf.DUMMYFUNCTION("""COMPUTED_VALUE"""),"แจ้งเจ้าหน้าที่นำจ่ายใหม่แล้ว")</f>
        <v>แจ้งเจ้าหน้าที่นำจ่ายใหม่แล้ว</v>
      </c>
      <c r="J188" s="1" t="str">
        <f ca="1">IFERROR(__xludf.DUMMYFUNCTION("""COMPUTED_VALUE"""),"DB2")</f>
        <v>DB2</v>
      </c>
      <c r="K188" s="1" t="str">
        <f ca="1">IFERROR(__xludf.DUMMYFUNCTION("""COMPUTED_VALUE"""),"EMS10260EVD2023")</f>
        <v>EMS10260EVD2023</v>
      </c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15.75" customHeight="1" x14ac:dyDescent="0.2">
      <c r="A189" s="8">
        <f ca="1">IFERROR(__xludf.DUMMYFUNCTION("""COMPUTED_VALUE"""),45252.6529753356)</f>
        <v>45252.652975335601</v>
      </c>
      <c r="B189" s="1" t="str">
        <f ca="1">IFERROR(__xludf.DUMMYFUNCTION("""COMPUTED_VALUE"""),"CEC")</f>
        <v>CEC</v>
      </c>
      <c r="C189" s="1" t="str">
        <f ca="1">IFERROR(__xludf.DUMMYFUNCTION("""COMPUTED_VALUE"""),"ed963350356th")</f>
        <v>ed963350356th</v>
      </c>
      <c r="D189" s="1" t="str">
        <f ca="1">IFERROR(__xludf.DUMMYFUNCTION("""COMPUTED_VALUE"""),"wei zhen")</f>
        <v>wei zhen</v>
      </c>
      <c r="E189" s="1" t="str">
        <f ca="1">IFERROR(__xludf.DUMMYFUNCTION("""COMPUTED_VALUE"""),"061-4391342")</f>
        <v>061-4391342</v>
      </c>
      <c r="F189" s="1" t="str">
        <f ca="1">IFERROR(__xludf.DUMMYFUNCTION("""COMPUTED_VALUE"""),"111 อาคารทูรดิติตอล ปาร์ค ")</f>
        <v xml:space="preserve">111 อาคารทูรดิติตอล ปาร์ค </v>
      </c>
      <c r="G189" s="1" t="str">
        <f ca="1">IFERROR(__xludf.DUMMYFUNCTION("""COMPUTED_VALUE"""),"ตรวจสอบการนำจ่าย")</f>
        <v>ตรวจสอบการนำจ่าย</v>
      </c>
      <c r="H189" s="1" t="str">
        <f ca="1">IFERROR(__xludf.DUMMYFUNCTION("""COMPUTED_VALUE"""),"-")</f>
        <v>-</v>
      </c>
      <c r="I189" s="1" t="str">
        <f ca="1">IFERROR(__xludf.DUMMYFUNCTION("""COMPUTED_VALUE"""),"-")</f>
        <v>-</v>
      </c>
      <c r="J189" s="1" t="str">
        <f ca="1">IFERROR(__xludf.DUMMYFUNCTION("""COMPUTED_VALUE"""),"DB3")</f>
        <v>DB3</v>
      </c>
      <c r="K189" s="1" t="str">
        <f ca="1">IFERROR(__xludf.DUMMYFUNCTION("""COMPUTED_VALUE"""),"ems10260evd022")</f>
        <v>ems10260evd022</v>
      </c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5.75" customHeight="1" x14ac:dyDescent="0.2">
      <c r="A190" s="8">
        <f ca="1">IFERROR(__xludf.DUMMYFUNCTION("""COMPUTED_VALUE"""),45252.6543792592)</f>
        <v>45252.654379259198</v>
      </c>
      <c r="B190" s="1" t="str">
        <f ca="1">IFERROR(__xludf.DUMMYFUNCTION("""COMPUTED_VALUE"""),"On Queue")</f>
        <v>On Queue</v>
      </c>
      <c r="C190" s="1" t="str">
        <f ca="1">IFERROR(__xludf.DUMMYFUNCTION("""COMPUTED_VALUE"""),"eo328329832th")</f>
        <v>eo328329832th</v>
      </c>
      <c r="D190" s="1" t="str">
        <f ca="1">IFERROR(__xludf.DUMMYFUNCTION("""COMPUTED_VALUE"""),"ทวีชัย")</f>
        <v>ทวีชัย</v>
      </c>
      <c r="E190" s="1" t="str">
        <f ca="1">IFERROR(__xludf.DUMMYFUNCTION("""COMPUTED_VALUE"""),"02-3982444")</f>
        <v>02-3982444</v>
      </c>
      <c r="F190" s="1" t="str">
        <f ca="1">IFERROR(__xludf.DUMMYFUNCTION("""COMPUTED_VALUE"""),"2077/337 คอนโโไอดิโอเวิร์ฟ ห้อง 337 สุขุมวิท")</f>
        <v>2077/337 คอนโโไอดิโอเวิร์ฟ ห้อง 337 สุขุมวิท</v>
      </c>
      <c r="G190" s="1" t="str">
        <f ca="1">IFERROR(__xludf.DUMMYFUNCTION("""COMPUTED_VALUE"""),"ตรวจสอบการนำจ่าย")</f>
        <v>ตรวจสอบการนำจ่าย</v>
      </c>
      <c r="H190" s="1" t="str">
        <f ca="1">IFERROR(__xludf.DUMMYFUNCTION("""COMPUTED_VALUE"""),"-")</f>
        <v>-</v>
      </c>
      <c r="I190" s="1" t="str">
        <f ca="1">IFERROR(__xludf.DUMMYFUNCTION("""COMPUTED_VALUE"""),"-")</f>
        <v>-</v>
      </c>
      <c r="J190" s="1" t="str">
        <f ca="1">IFERROR(__xludf.DUMMYFUNCTION("""COMPUTED_VALUE"""),"DB4")</f>
        <v>DB4</v>
      </c>
      <c r="K190" s="1" t="str">
        <f ca="1">IFERROR(__xludf.DUMMYFUNCTION("""COMPUTED_VALUE"""),"ems10260evd4024")</f>
        <v>ems10260evd4024</v>
      </c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5.75" customHeight="1" x14ac:dyDescent="0.2">
      <c r="A191" s="8">
        <f ca="1">IFERROR(__xludf.DUMMYFUNCTION("""COMPUTED_VALUE"""),45253.4478822338)</f>
        <v>45253.447882233799</v>
      </c>
      <c r="B191" s="1" t="str">
        <f ca="1">IFERROR(__xludf.DUMMYFUNCTION("""COMPUTED_VALUE"""),"CEC")</f>
        <v>CEC</v>
      </c>
      <c r="C191" s="1" t="str">
        <f ca="1">IFERROR(__xludf.DUMMYFUNCTION("""COMPUTED_VALUE"""),"eo693439080th")</f>
        <v>eo693439080th</v>
      </c>
      <c r="D191" s="1" t="str">
        <f ca="1">IFERROR(__xludf.DUMMYFUNCTION("""COMPUTED_VALUE"""),"มาริสา")</f>
        <v>มาริสา</v>
      </c>
      <c r="E191" s="1" t="str">
        <f ca="1">IFERROR(__xludf.DUMMYFUNCTION("""COMPUTED_VALUE"""),"080-5647397")</f>
        <v>080-5647397</v>
      </c>
      <c r="F191" s="1" t="str">
        <f ca="1">IFERROR(__xludf.DUMMYFUNCTION("""COMPUTED_VALUE"""),"41/8-9 ซ.อุดมสุข36 สุขุมวิท106")</f>
        <v>41/8-9 ซ.อุดมสุข36 สุขุมวิท106</v>
      </c>
      <c r="G191" s="1" t="str">
        <f ca="1">IFERROR(__xludf.DUMMYFUNCTION("""COMPUTED_VALUE"""),"ตรวจสอบการนำจ่าย")</f>
        <v>ตรวจสอบการนำจ่าย</v>
      </c>
      <c r="H191" s="1" t="str">
        <f ca="1">IFERROR(__xludf.DUMMYFUNCTION("""COMPUTED_VALUE"""),"-")</f>
        <v>-</v>
      </c>
      <c r="I191" s="1" t="str">
        <f ca="1">IFERROR(__xludf.DUMMYFUNCTION("""COMPUTED_VALUE"""),"-")</f>
        <v>-</v>
      </c>
      <c r="J191" s="1" t="str">
        <f ca="1">IFERROR(__xludf.DUMMYFUNCTION("""COMPUTED_VALUE"""),"นำจ่ายรถยนต์")</f>
        <v>นำจ่ายรถยนต์</v>
      </c>
      <c r="K191" s="1" t="str">
        <f ca="1">IFERROR(__xludf.DUMMYFUNCTION("""COMPUTED_VALUE"""),"car10260evd5004")</f>
        <v>car10260evd5004</v>
      </c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5.75" customHeight="1" x14ac:dyDescent="0.2">
      <c r="A192" s="8">
        <f ca="1">IFERROR(__xludf.DUMMYFUNCTION("""COMPUTED_VALUE"""),45253.4486590625)</f>
        <v>45253.448659062502</v>
      </c>
      <c r="B192" s="1" t="str">
        <f ca="1">IFERROR(__xludf.DUMMYFUNCTION("""COMPUTED_VALUE"""),"CEC")</f>
        <v>CEC</v>
      </c>
      <c r="C192" s="1" t="str">
        <f ca="1">IFERROR(__xludf.DUMMYFUNCTION("""COMPUTED_VALUE"""),"eo693439093th")</f>
        <v>eo693439093th</v>
      </c>
      <c r="D192" s="1" t="str">
        <f ca="1">IFERROR(__xludf.DUMMYFUNCTION("""COMPUTED_VALUE"""),"มาริสา")</f>
        <v>มาริสา</v>
      </c>
      <c r="E192" s="1" t="str">
        <f ca="1">IFERROR(__xludf.DUMMYFUNCTION("""COMPUTED_VALUE"""),"080-5647397")</f>
        <v>080-5647397</v>
      </c>
      <c r="F192" s="1" t="str">
        <f ca="1">IFERROR(__xludf.DUMMYFUNCTION("""COMPUTED_VALUE"""),"41/8-9 ซ.อุดมสุข36 สุขุมวิท103")</f>
        <v>41/8-9 ซ.อุดมสุข36 สุขุมวิท103</v>
      </c>
      <c r="G192" s="1" t="str">
        <f ca="1">IFERROR(__xludf.DUMMYFUNCTION("""COMPUTED_VALUE"""),"ตรวจสอบการนำจ่าย")</f>
        <v>ตรวจสอบการนำจ่าย</v>
      </c>
      <c r="H192" s="1" t="str">
        <f ca="1">IFERROR(__xludf.DUMMYFUNCTION("""COMPUTED_VALUE"""),"-")</f>
        <v>-</v>
      </c>
      <c r="I192" s="1" t="str">
        <f ca="1">IFERROR(__xludf.DUMMYFUNCTION("""COMPUTED_VALUE"""),"-")</f>
        <v>-</v>
      </c>
      <c r="J192" s="1" t="str">
        <f ca="1">IFERROR(__xludf.DUMMYFUNCTION("""COMPUTED_VALUE"""),"นำจ่ายรถยนต์")</f>
        <v>นำจ่ายรถยนต์</v>
      </c>
      <c r="K192" s="1" t="str">
        <f ca="1">IFERROR(__xludf.DUMMYFUNCTION("""COMPUTED_VALUE"""),"car10260evd5004")</f>
        <v>car10260evd5004</v>
      </c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15.75" customHeight="1" x14ac:dyDescent="0.2">
      <c r="A193" s="8">
        <f ca="1">IFERROR(__xludf.DUMMYFUNCTION("""COMPUTED_VALUE"""),45253.4495584838)</f>
        <v>45253.449558483801</v>
      </c>
      <c r="B193" s="1" t="str">
        <f ca="1">IFERROR(__xludf.DUMMYFUNCTION("""COMPUTED_VALUE"""),"CEC")</f>
        <v>CEC</v>
      </c>
      <c r="C193" s="1" t="str">
        <f ca="1">IFERROR(__xludf.DUMMYFUNCTION("""COMPUTED_VALUE"""),"eo693439116th")</f>
        <v>eo693439116th</v>
      </c>
      <c r="D193" s="1" t="str">
        <f ca="1">IFERROR(__xludf.DUMMYFUNCTION("""COMPUTED_VALUE"""),"มาริสา")</f>
        <v>มาริสา</v>
      </c>
      <c r="E193" s="1" t="str">
        <f ca="1">IFERROR(__xludf.DUMMYFUNCTION("""COMPUTED_VALUE"""),"080-5647397")</f>
        <v>080-5647397</v>
      </c>
      <c r="F193" s="1" t="str">
        <f ca="1">IFERROR(__xludf.DUMMYFUNCTION("""COMPUTED_VALUE"""),"41/8-9 ซ.อุดมสุข36 สุขุมวิท103")</f>
        <v>41/8-9 ซ.อุดมสุข36 สุขุมวิท103</v>
      </c>
      <c r="G193" s="1" t="str">
        <f ca="1">IFERROR(__xludf.DUMMYFUNCTION("""COMPUTED_VALUE"""),"ตรวจสอบการนำจ่าย")</f>
        <v>ตรวจสอบการนำจ่าย</v>
      </c>
      <c r="H193" s="1" t="str">
        <f ca="1">IFERROR(__xludf.DUMMYFUNCTION("""COMPUTED_VALUE"""),"-")</f>
        <v>-</v>
      </c>
      <c r="I193" s="1" t="str">
        <f ca="1">IFERROR(__xludf.DUMMYFUNCTION("""COMPUTED_VALUE"""),"-")</f>
        <v>-</v>
      </c>
      <c r="J193" s="1" t="str">
        <f ca="1">IFERROR(__xludf.DUMMYFUNCTION("""COMPUTED_VALUE"""),"นำจ่ายรถยนต์")</f>
        <v>นำจ่ายรถยนต์</v>
      </c>
      <c r="K193" s="1" t="str">
        <f ca="1">IFERROR(__xludf.DUMMYFUNCTION("""COMPUTED_VALUE"""),"car10260evd5004")</f>
        <v>car10260evd5004</v>
      </c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5.75" customHeight="1" x14ac:dyDescent="0.2">
      <c r="A194" s="8">
        <f ca="1">IFERROR(__xludf.DUMMYFUNCTION("""COMPUTED_VALUE"""),45253.451298831)</f>
        <v>45253.451298831002</v>
      </c>
      <c r="B194" s="1" t="str">
        <f ca="1">IFERROR(__xludf.DUMMYFUNCTION("""COMPUTED_VALUE"""),"On Queue")</f>
        <v>On Queue</v>
      </c>
      <c r="C194" s="1" t="str">
        <f ca="1">IFERROR(__xludf.DUMMYFUNCTION("""COMPUTED_VALUE"""),"eb952513314th")</f>
        <v>eb952513314th</v>
      </c>
      <c r="D194" s="1" t="str">
        <f ca="1">IFERROR(__xludf.DUMMYFUNCTION("""COMPUTED_VALUE"""),"อาทัท")</f>
        <v>อาทัท</v>
      </c>
      <c r="E194" s="1" t="str">
        <f ca="1">IFERROR(__xludf.DUMMYFUNCTION("""COMPUTED_VALUE"""),"085-5570172")</f>
        <v>085-5570172</v>
      </c>
      <c r="F194" s="1" t="str">
        <f ca="1">IFERROR(__xludf.DUMMYFUNCTION("""COMPUTED_VALUE"""),"1561 ตึกแถว ตรงข้าม รพ.ศิครินทร์ ซ.105")</f>
        <v>1561 ตึกแถว ตรงข้าม รพ.ศิครินทร์ ซ.105</v>
      </c>
      <c r="G194" s="1" t="str">
        <f ca="1">IFERROR(__xludf.DUMMYFUNCTION("""COMPUTED_VALUE"""),"ตรวจสอบการนำจ่าย")</f>
        <v>ตรวจสอบการนำจ่าย</v>
      </c>
      <c r="H194" s="1" t="str">
        <f ca="1">IFERROR(__xludf.DUMMYFUNCTION("""COMPUTED_VALUE"""),"-")</f>
        <v>-</v>
      </c>
      <c r="I194" s="1" t="str">
        <f ca="1">IFERROR(__xludf.DUMMYFUNCTION("""COMPUTED_VALUE"""),"-")</f>
        <v>-</v>
      </c>
      <c r="J194" s="1" t="str">
        <f ca="1">IFERROR(__xludf.DUMMYFUNCTION("""COMPUTED_VALUE"""),"นำจ่ายรถยนต์")</f>
        <v>นำจ่ายรถยนต์</v>
      </c>
      <c r="K194" s="1" t="str">
        <f ca="1">IFERROR(__xludf.DUMMYFUNCTION("""COMPUTED_VALUE"""),"car10260evd5008")</f>
        <v>car10260evd5008</v>
      </c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15.75" customHeight="1" x14ac:dyDescent="0.2">
      <c r="A195" s="8">
        <f ca="1">IFERROR(__xludf.DUMMYFUNCTION("""COMPUTED_VALUE"""),45253.4878945138)</f>
        <v>45253.487894513797</v>
      </c>
      <c r="B195" s="1" t="str">
        <f ca="1">IFERROR(__xludf.DUMMYFUNCTION("""COMPUTED_VALUE"""),"On Queue")</f>
        <v>On Queue</v>
      </c>
      <c r="C195" s="1" t="str">
        <f ca="1">IFERROR(__xludf.DUMMYFUNCTION("""COMPUTED_VALUE"""),"eb952861643th")</f>
        <v>eb952861643th</v>
      </c>
      <c r="D195" s="1" t="str">
        <f ca="1">IFERROR(__xludf.DUMMYFUNCTION("""COMPUTED_VALUE"""),"ภักดิ์พง")</f>
        <v>ภักดิ์พง</v>
      </c>
      <c r="E195" s="1" t="str">
        <f ca="1">IFERROR(__xludf.DUMMYFUNCTION("""COMPUTED_VALUE"""),"085-0562099")</f>
        <v>085-0562099</v>
      </c>
      <c r="F195" s="1" t="str">
        <f ca="1">IFERROR(__xludf.DUMMYFUNCTION("""COMPUTED_VALUE"""),"บ.มอลติ ฯ ซอย.ลาซาน 56 สุขุทวิท")</f>
        <v>บ.มอลติ ฯ ซอย.ลาซาน 56 สุขุทวิท</v>
      </c>
      <c r="G195" s="1" t="str">
        <f ca="1">IFERROR(__xludf.DUMMYFUNCTION("""COMPUTED_VALUE"""),"ตรวจสอบการนำจ่าย")</f>
        <v>ตรวจสอบการนำจ่าย</v>
      </c>
      <c r="H195" s="1" t="str">
        <f ca="1">IFERROR(__xludf.DUMMYFUNCTION("""COMPUTED_VALUE"""),"ขอส่งคืนผู้ส่งได้เลย")</f>
        <v>ขอส่งคืนผู้ส่งได้เลย</v>
      </c>
      <c r="I195" s="1" t="str">
        <f ca="1">IFERROR(__xludf.DUMMYFUNCTION("""COMPUTED_VALUE"""),"-")</f>
        <v>-</v>
      </c>
      <c r="J195" s="1" t="str">
        <f ca="1">IFERROR(__xludf.DUMMYFUNCTION("""COMPUTED_VALUE"""),"DB1")</f>
        <v>DB1</v>
      </c>
      <c r="K195" s="1" t="str">
        <f ca="1">IFERROR(__xludf.DUMMYFUNCTION("""COMPUTED_VALUE"""),"ema10260evd1025")</f>
        <v>ema10260evd1025</v>
      </c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ht="15.75" customHeight="1" x14ac:dyDescent="0.2">
      <c r="A196" s="8">
        <f ca="1">IFERROR(__xludf.DUMMYFUNCTION("""COMPUTED_VALUE"""),45253.489789155)</f>
        <v>45253.489789154999</v>
      </c>
      <c r="B196" s="1" t="str">
        <f ca="1">IFERROR(__xludf.DUMMYFUNCTION("""COMPUTED_VALUE"""),"CEC")</f>
        <v>CEC</v>
      </c>
      <c r="C196" s="1" t="str">
        <f ca="1">IFERROR(__xludf.DUMMYFUNCTION("""COMPUTED_VALUE"""),"ri893899634th")</f>
        <v>ri893899634th</v>
      </c>
      <c r="D196" s="1" t="str">
        <f ca="1">IFERROR(__xludf.DUMMYFUNCTION("""COMPUTED_VALUE"""),"วาสนา")</f>
        <v>วาสนา</v>
      </c>
      <c r="E196" s="1" t="str">
        <f ca="1">IFERROR(__xludf.DUMMYFUNCTION("""COMPUTED_VALUE"""),"098-0120839")</f>
        <v>098-0120839</v>
      </c>
      <c r="F196" s="1" t="str">
        <f ca="1">IFERROR(__xludf.DUMMYFUNCTION("""COMPUTED_VALUE"""),"17/2 ซอย.พงษ์เวชอนุสรณ์ 2 ซ.101")</f>
        <v>17/2 ซอย.พงษ์เวชอนุสรณ์ 2 ซ.101</v>
      </c>
      <c r="G196" s="1" t="str">
        <f ca="1">IFERROR(__xludf.DUMMYFUNCTION("""COMPUTED_VALUE"""),"ตรวจสอบการนำจ่าย")</f>
        <v>ตรวจสอบการนำจ่าย</v>
      </c>
      <c r="H196" s="1" t="str">
        <f ca="1">IFERROR(__xludf.DUMMYFUNCTION("""COMPUTED_VALUE"""),"ขอรับเอง")</f>
        <v>ขอรับเอง</v>
      </c>
      <c r="I196" s="1" t="str">
        <f ca="1">IFERROR(__xludf.DUMMYFUNCTION("""COMPUTED_VALUE"""),"-")</f>
        <v>-</v>
      </c>
      <c r="J196" s="1" t="str">
        <f ca="1">IFERROR(__xludf.DUMMYFUNCTION("""COMPUTED_VALUE"""),"DB4")</f>
        <v>DB4</v>
      </c>
      <c r="K196" s="1" t="str">
        <f ca="1">IFERROR(__xludf.DUMMYFUNCTION("""COMPUTED_VALUE"""),"zne10260evd4001")</f>
        <v>zne10260evd4001</v>
      </c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ht="15.75" customHeight="1" x14ac:dyDescent="0.2">
      <c r="A197" s="8">
        <f ca="1">IFERROR(__xludf.DUMMYFUNCTION("""COMPUTED_VALUE"""),45253.4911564699)</f>
        <v>45253.4911564699</v>
      </c>
      <c r="B197" s="1" t="str">
        <f ca="1">IFERROR(__xludf.DUMMYFUNCTION("""COMPUTED_VALUE"""),"CEC")</f>
        <v>CEC</v>
      </c>
      <c r="C197" s="1" t="str">
        <f ca="1">IFERROR(__xludf.DUMMYFUNCTION("""COMPUTED_VALUE"""),"ed991643069th")</f>
        <v>ed991643069th</v>
      </c>
      <c r="D197" s="1" t="str">
        <f ca="1">IFERROR(__xludf.DUMMYFUNCTION("""COMPUTED_VALUE"""),"เกนหลง")</f>
        <v>เกนหลง</v>
      </c>
      <c r="E197" s="1" t="str">
        <f ca="1">IFERROR(__xludf.DUMMYFUNCTION("""COMPUTED_VALUE"""),"097-0499989")</f>
        <v>097-0499989</v>
      </c>
      <c r="F197" s="1" t="str">
        <f ca="1">IFERROR(__xludf.DUMMYFUNCTION("""COMPUTED_VALUE"""),"19 ซอย.สุขุมวิท 52")</f>
        <v>19 ซอย.สุขุมวิท 52</v>
      </c>
      <c r="G197" s="1" t="str">
        <f ca="1">IFERROR(__xludf.DUMMYFUNCTION("""COMPUTED_VALUE"""),"ตรวจสอบการนำจ่าย")</f>
        <v>ตรวจสอบการนำจ่าย</v>
      </c>
      <c r="H197" s="1" t="str">
        <f ca="1">IFERROR(__xludf.DUMMYFUNCTION("""COMPUTED_VALUE"""),"-")</f>
        <v>-</v>
      </c>
      <c r="I197" s="1" t="str">
        <f ca="1">IFERROR(__xludf.DUMMYFUNCTION("""COMPUTED_VALUE"""),"-")</f>
        <v>-</v>
      </c>
      <c r="J197" s="1" t="str">
        <f ca="1">IFERROR(__xludf.DUMMYFUNCTION("""COMPUTED_VALUE"""),"DB4")</f>
        <v>DB4</v>
      </c>
      <c r="K197" s="1" t="str">
        <f ca="1">IFERROR(__xludf.DUMMYFUNCTION("""COMPUTED_VALUE"""),"ems10260evd4020")</f>
        <v>ems10260evd4020</v>
      </c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ht="15.75" customHeight="1" x14ac:dyDescent="0.2">
      <c r="A198" s="8">
        <f ca="1">IFERROR(__xludf.DUMMYFUNCTION("""COMPUTED_VALUE"""),45253.4927540162)</f>
        <v>45253.492754016203</v>
      </c>
      <c r="B198" s="1" t="str">
        <f ca="1">IFERROR(__xludf.DUMMYFUNCTION("""COMPUTED_VALUE"""),"CEC")</f>
        <v>CEC</v>
      </c>
      <c r="C198" s="1" t="str">
        <f ca="1">IFERROR(__xludf.DUMMYFUNCTION("""COMPUTED_VALUE"""),"eb951909245th")</f>
        <v>eb951909245th</v>
      </c>
      <c r="D198" s="1" t="str">
        <f ca="1">IFERROR(__xludf.DUMMYFUNCTION("""COMPUTED_VALUE"""),"เมธินทร์")</f>
        <v>เมธินทร์</v>
      </c>
      <c r="E198" s="1" t="str">
        <f ca="1">IFERROR(__xludf.DUMMYFUNCTION("""COMPUTED_VALUE"""),"092-2691666")</f>
        <v>092-2691666</v>
      </c>
      <c r="F198" s="1" t="str">
        <f ca="1">IFERROR(__xludf.DUMMYFUNCTION("""COMPUTED_VALUE"""),"555 ซอย.สุขุมวิท 50")</f>
        <v>555 ซอย.สุขุมวิท 50</v>
      </c>
      <c r="G198" s="1" t="str">
        <f ca="1">IFERROR(__xludf.DUMMYFUNCTION("""COMPUTED_VALUE"""),"ตรวจสอบการนำจ่าย")</f>
        <v>ตรวจสอบการนำจ่าย</v>
      </c>
      <c r="H198" s="1" t="str">
        <f ca="1">IFERROR(__xludf.DUMMYFUNCTION("""COMPUTED_VALUE"""),"ขอรับเอง")</f>
        <v>ขอรับเอง</v>
      </c>
      <c r="I198" s="1" t="str">
        <f ca="1">IFERROR(__xludf.DUMMYFUNCTION("""COMPUTED_VALUE"""),"-")</f>
        <v>-</v>
      </c>
      <c r="J198" s="1" t="str">
        <f ca="1">IFERROR(__xludf.DUMMYFUNCTION("""COMPUTED_VALUE"""),"DB3")</f>
        <v>DB3</v>
      </c>
      <c r="K198" s="1" t="str">
        <f ca="1">IFERROR(__xludf.DUMMYFUNCTION("""COMPUTED_VALUE"""),"ems102603012")</f>
        <v>ems102603012</v>
      </c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ht="15.75" customHeight="1" x14ac:dyDescent="0.2">
      <c r="A199" s="8">
        <f ca="1">IFERROR(__xludf.DUMMYFUNCTION("""COMPUTED_VALUE"""),45253.4942205324)</f>
        <v>45253.494220532397</v>
      </c>
      <c r="B199" s="1" t="str">
        <f ca="1">IFERROR(__xludf.DUMMYFUNCTION("""COMPUTED_VALUE"""),"CEC")</f>
        <v>CEC</v>
      </c>
      <c r="C199" s="1" t="str">
        <f ca="1">IFERROR(__xludf.DUMMYFUNCTION("""COMPUTED_VALUE"""),"eb998608027th")</f>
        <v>eb998608027th</v>
      </c>
      <c r="D199" s="1" t="str">
        <f ca="1">IFERROR(__xludf.DUMMYFUNCTION("""COMPUTED_VALUE"""),"รัตนา")</f>
        <v>รัตนา</v>
      </c>
      <c r="E199" s="1" t="str">
        <f ca="1">IFERROR(__xludf.DUMMYFUNCTION("""COMPUTED_VALUE"""),"064-1679004")</f>
        <v>064-1679004</v>
      </c>
      <c r="F199" s="1" t="str">
        <f ca="1">IFERROR(__xludf.DUMMYFUNCTION("""COMPUTED_VALUE"""),"54 ซอย.ปุณณวิถี11 สุขุมวิท101")</f>
        <v>54 ซอย.ปุณณวิถี11 สุขุมวิท101</v>
      </c>
      <c r="G199" s="1" t="str">
        <f ca="1">IFERROR(__xludf.DUMMYFUNCTION("""COMPUTED_VALUE"""),"ตรวจสอบการนำจ่าย")</f>
        <v>ตรวจสอบการนำจ่าย</v>
      </c>
      <c r="H199" s="1" t="str">
        <f ca="1">IFERROR(__xludf.DUMMYFUNCTION("""COMPUTED_VALUE"""),"-")</f>
        <v>-</v>
      </c>
      <c r="I199" s="1" t="str">
        <f ca="1">IFERROR(__xludf.DUMMYFUNCTION("""COMPUTED_VALUE"""),"-")</f>
        <v>-</v>
      </c>
      <c r="J199" s="1" t="str">
        <f ca="1">IFERROR(__xludf.DUMMYFUNCTION("""COMPUTED_VALUE"""),"DB3")</f>
        <v>DB3</v>
      </c>
      <c r="K199" s="1" t="str">
        <f ca="1">IFERROR(__xludf.DUMMYFUNCTION("""COMPUTED_VALUE"""),"ems10260evd3014")</f>
        <v>ems10260evd3014</v>
      </c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ht="15.75" customHeight="1" x14ac:dyDescent="0.2">
      <c r="A200" s="8">
        <f ca="1">IFERROR(__xludf.DUMMYFUNCTION("""COMPUTED_VALUE"""),45253.4992121412)</f>
        <v>45253.4992121412</v>
      </c>
      <c r="B200" s="1" t="str">
        <f ca="1">IFERROR(__xludf.DUMMYFUNCTION("""COMPUTED_VALUE"""),"CEC")</f>
        <v>CEC</v>
      </c>
      <c r="C200" s="1" t="str">
        <f ca="1">IFERROR(__xludf.DUMMYFUNCTION("""COMPUTED_VALUE"""),"ed976659755th")</f>
        <v>ed976659755th</v>
      </c>
      <c r="D200" s="1" t="str">
        <f ca="1">IFERROR(__xludf.DUMMYFUNCTION("""COMPUTED_VALUE"""),"paul (พอล)")</f>
        <v>paul (พอล)</v>
      </c>
      <c r="E200" s="1" t="str">
        <f ca="1">IFERROR(__xludf.DUMMYFUNCTION("""COMPUTED_VALUE"""),"081-9460487")</f>
        <v>081-9460487</v>
      </c>
      <c r="F200" s="1" t="str">
        <f ca="1">IFERROR(__xludf.DUMMYFUNCTION("""COMPUTED_VALUE"""),"1818/8 บ้านเจนทรี ซอย.สุขุมวิท101")</f>
        <v>1818/8 บ้านเจนทรี ซอย.สุขุมวิท101</v>
      </c>
      <c r="G200" s="1" t="str">
        <f ca="1">IFERROR(__xludf.DUMMYFUNCTION("""COMPUTED_VALUE"""),"ตรวจสอบการนำจ่าย")</f>
        <v>ตรวจสอบการนำจ่าย</v>
      </c>
      <c r="H200" s="1" t="str">
        <f ca="1">IFERROR(__xludf.DUMMYFUNCTION("""COMPUTED_VALUE"""),"ขอคืนผู้ส่ง")</f>
        <v>ขอคืนผู้ส่ง</v>
      </c>
      <c r="I200" s="1" t="str">
        <f ca="1">IFERROR(__xludf.DUMMYFUNCTION("""COMPUTED_VALUE"""),"-")</f>
        <v>-</v>
      </c>
      <c r="J200" s="1" t="str">
        <f ca="1">IFERROR(__xludf.DUMMYFUNCTION("""COMPUTED_VALUE"""),"DB3")</f>
        <v>DB3</v>
      </c>
      <c r="K200" s="1" t="str">
        <f ca="1">IFERROR(__xludf.DUMMYFUNCTION("""COMPUTED_VALUE"""),"ems10260evd")</f>
        <v>ems10260evd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ht="15.75" customHeight="1" x14ac:dyDescent="0.2">
      <c r="A201" s="8">
        <f ca="1">IFERROR(__xludf.DUMMYFUNCTION("""COMPUTED_VALUE"""),45253.5006269097)</f>
        <v>45253.500626909699</v>
      </c>
      <c r="B201" s="1" t="str">
        <f ca="1">IFERROR(__xludf.DUMMYFUNCTION("""COMPUTED_VALUE"""),"CEC")</f>
        <v>CEC</v>
      </c>
      <c r="C201" s="1" t="str">
        <f ca="1">IFERROR(__xludf.DUMMYFUNCTION("""COMPUTED_VALUE"""),"ed969743356th")</f>
        <v>ed969743356th</v>
      </c>
      <c r="D201" s="1" t="str">
        <f ca="1">IFERROR(__xludf.DUMMYFUNCTION("""COMPUTED_VALUE"""),"สมชาย")</f>
        <v>สมชาย</v>
      </c>
      <c r="E201" s="1" t="str">
        <f ca="1">IFERROR(__xludf.DUMMYFUNCTION("""COMPUTED_VALUE"""),"02-1708346")</f>
        <v>02-1708346</v>
      </c>
      <c r="F201" s="1" t="str">
        <f ca="1">IFERROR(__xludf.DUMMYFUNCTION("""COMPUTED_VALUE"""),"2556 สุขุมวิท บางนาใต้")</f>
        <v>2556 สุขุมวิท บางนาใต้</v>
      </c>
      <c r="G201" s="1" t="str">
        <f ca="1">IFERROR(__xludf.DUMMYFUNCTION("""COMPUTED_VALUE"""),"ตรวจสอบการนำจ่าย")</f>
        <v>ตรวจสอบการนำจ่าย</v>
      </c>
      <c r="H201" s="1" t="str">
        <f ca="1">IFERROR(__xludf.DUMMYFUNCTION("""COMPUTED_VALUE"""),"-")</f>
        <v>-</v>
      </c>
      <c r="I201" s="1" t="str">
        <f ca="1">IFERROR(__xludf.DUMMYFUNCTION("""COMPUTED_VALUE"""),"-")</f>
        <v>-</v>
      </c>
      <c r="J201" s="1" t="str">
        <f ca="1">IFERROR(__xludf.DUMMYFUNCTION("""COMPUTED_VALUE"""),"DB2")</f>
        <v>DB2</v>
      </c>
      <c r="K201" s="1" t="str">
        <f ca="1">IFERROR(__xludf.DUMMYFUNCTION("""COMPUTED_VALUE"""),"ems10260evd2004")</f>
        <v>ems10260evd2004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ht="15.75" customHeight="1" x14ac:dyDescent="0.2">
      <c r="A202" s="8">
        <f ca="1">IFERROR(__xludf.DUMMYFUNCTION("""COMPUTED_VALUE"""),45253.5163234027)</f>
        <v>45253.516323402699</v>
      </c>
      <c r="B202" s="1" t="str">
        <f ca="1">IFERROR(__xludf.DUMMYFUNCTION("""COMPUTED_VALUE"""),"CEC")</f>
        <v>CEC</v>
      </c>
      <c r="C202" s="1" t="str">
        <f ca="1">IFERROR(__xludf.DUMMYFUNCTION("""COMPUTED_VALUE"""),"ed022300143th")</f>
        <v>ed022300143th</v>
      </c>
      <c r="D202" s="1" t="str">
        <f ca="1">IFERROR(__xludf.DUMMYFUNCTION("""COMPUTED_VALUE"""),"กาญจนา")</f>
        <v>กาญจนา</v>
      </c>
      <c r="E202" s="1" t="str">
        <f ca="1">IFERROR(__xludf.DUMMYFUNCTION("""COMPUTED_VALUE"""),"098-4624656")</f>
        <v>098-4624656</v>
      </c>
      <c r="F202" s="1" t="str">
        <f ca="1">IFERROR(__xludf.DUMMYFUNCTION("""COMPUTED_VALUE"""),"1006/90 คอนโดนิรันดร์ 9 ตึกสีม่วง อุดมสุข56")</f>
        <v>1006/90 คอนโดนิรันดร์ 9 ตึกสีม่วง อุดมสุข56</v>
      </c>
      <c r="G202" s="1" t="str">
        <f ca="1">IFERROR(__xludf.DUMMYFUNCTION("""COMPUTED_VALUE"""),"ตรวจสอบการนำจ่าย")</f>
        <v>ตรวจสอบการนำจ่าย</v>
      </c>
      <c r="H202" s="1" t="str">
        <f ca="1">IFERROR(__xludf.DUMMYFUNCTION("""COMPUTED_VALUE"""),"กำลังนำจ่าย")</f>
        <v>กำลังนำจ่าย</v>
      </c>
      <c r="I202" s="1" t="str">
        <f ca="1">IFERROR(__xludf.DUMMYFUNCTION("""COMPUTED_VALUE"""),"-")</f>
        <v>-</v>
      </c>
      <c r="J202" s="1" t="str">
        <f ca="1">IFERROR(__xludf.DUMMYFUNCTION("""COMPUTED_VALUE"""),"DB1")</f>
        <v>DB1</v>
      </c>
      <c r="K202" s="1" t="str">
        <f ca="1">IFERROR(__xludf.DUMMYFUNCTION("""COMPUTED_VALUE"""),"ems10260evd1025")</f>
        <v>ems10260evd1025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ht="15.75" customHeight="1" x14ac:dyDescent="0.2">
      <c r="A203" s="8">
        <f ca="1">IFERROR(__xludf.DUMMYFUNCTION("""COMPUTED_VALUE"""),45253.5194038078)</f>
        <v>45253.519403807797</v>
      </c>
      <c r="B203" s="1" t="str">
        <f ca="1">IFERROR(__xludf.DUMMYFUNCTION("""COMPUTED_VALUE"""),"CEC")</f>
        <v>CEC</v>
      </c>
      <c r="C203" s="1" t="str">
        <f ca="1">IFERROR(__xludf.DUMMYFUNCTION("""COMPUTED_VALUE"""),"ed988392207th")</f>
        <v>ed988392207th</v>
      </c>
      <c r="D203" s="1" t="str">
        <f ca="1">IFERROR(__xludf.DUMMYFUNCTION("""COMPUTED_VALUE"""),"-")</f>
        <v>-</v>
      </c>
      <c r="E203" s="1" t="str">
        <f ca="1">IFERROR(__xludf.DUMMYFUNCTION("""COMPUTED_VALUE"""),"02-3982444")</f>
        <v>02-3982444</v>
      </c>
      <c r="F203" s="1" t="str">
        <f ca="1">IFERROR(__xludf.DUMMYFUNCTION("""COMPUTED_VALUE"""),"บจก.คิงส์ 49/31-32 ริมถนนศรีนครินทร์")</f>
        <v>บจก.คิงส์ 49/31-32 ริมถนนศรีนครินทร์</v>
      </c>
      <c r="G203" s="1" t="str">
        <f ca="1">IFERROR(__xludf.DUMMYFUNCTION("""COMPUTED_VALUE"""),"ตรวจสอบการนำจ่าย")</f>
        <v>ตรวจสอบการนำจ่าย</v>
      </c>
      <c r="H203" s="1" t="str">
        <f ca="1">IFERROR(__xludf.DUMMYFUNCTION("""COMPUTED_VALUE"""),"-")</f>
        <v>-</v>
      </c>
      <c r="I203" s="1" t="str">
        <f ca="1">IFERROR(__xludf.DUMMYFUNCTION("""COMPUTED_VALUE"""),"-")</f>
        <v>-</v>
      </c>
      <c r="J203" s="1" t="str">
        <f ca="1">IFERROR(__xludf.DUMMYFUNCTION("""COMPUTED_VALUE"""),"DB1")</f>
        <v>DB1</v>
      </c>
      <c r="K203" s="1" t="str">
        <f ca="1">IFERROR(__xludf.DUMMYFUNCTION("""COMPUTED_VALUE"""),"ems10260evd1025")</f>
        <v>ems10260evd1025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ht="15.75" customHeight="1" x14ac:dyDescent="0.2">
      <c r="A204" s="8">
        <f ca="1">IFERROR(__xludf.DUMMYFUNCTION("""COMPUTED_VALUE"""),45253.5220022916)</f>
        <v>45253.522002291596</v>
      </c>
      <c r="B204" s="1" t="str">
        <f ca="1">IFERROR(__xludf.DUMMYFUNCTION("""COMPUTED_VALUE"""),"CEC")</f>
        <v>CEC</v>
      </c>
      <c r="C204" s="1" t="str">
        <f ca="1">IFERROR(__xludf.DUMMYFUNCTION("""COMPUTED_VALUE"""),"ef399943638th")</f>
        <v>ef399943638th</v>
      </c>
      <c r="D204" s="1" t="str">
        <f ca="1">IFERROR(__xludf.DUMMYFUNCTION("""COMPUTED_VALUE"""),"พวงผกา")</f>
        <v>พวงผกา</v>
      </c>
      <c r="E204" s="1" t="str">
        <f ca="1">IFERROR(__xludf.DUMMYFUNCTION("""COMPUTED_VALUE"""),"085-6609658")</f>
        <v>085-6609658</v>
      </c>
      <c r="F204" s="1" t="str">
        <f ca="1">IFERROR(__xludf.DUMMYFUNCTION("""COMPUTED_VALUE"""),"50/56 คอนโดรีเจ้นโฮม สรรพาวุธ ซอย.2")</f>
        <v>50/56 คอนโดรีเจ้นโฮม สรรพาวุธ ซอย.2</v>
      </c>
      <c r="G204" s="1" t="str">
        <f ca="1">IFERROR(__xludf.DUMMYFUNCTION("""COMPUTED_VALUE"""),"ตรวจสอบการนำจ่าย")</f>
        <v>ตรวจสอบการนำจ่าย</v>
      </c>
      <c r="H204" s="1" t="str">
        <f ca="1">IFERROR(__xludf.DUMMYFUNCTION("""COMPUTED_VALUE"""),"-")</f>
        <v>-</v>
      </c>
      <c r="I204" s="1" t="str">
        <f ca="1">IFERROR(__xludf.DUMMYFUNCTION("""COMPUTED_VALUE"""),"-")</f>
        <v>-</v>
      </c>
      <c r="J204" s="1" t="str">
        <f ca="1">IFERROR(__xludf.DUMMYFUNCTION("""COMPUTED_VALUE"""),"นำจ่ายรถยนต์")</f>
        <v>นำจ่ายรถยนต์</v>
      </c>
      <c r="K204" s="1" t="str">
        <f ca="1">IFERROR(__xludf.DUMMYFUNCTION("""COMPUTED_VALUE"""),"car102605004")</f>
        <v>car102605004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ht="15.75" customHeight="1" x14ac:dyDescent="0.2">
      <c r="A205" s="8">
        <f ca="1">IFERROR(__xludf.DUMMYFUNCTION("""COMPUTED_VALUE"""),45253.5233530439)</f>
        <v>45253.5233530439</v>
      </c>
      <c r="B205" s="1" t="str">
        <f ca="1">IFERROR(__xludf.DUMMYFUNCTION("""COMPUTED_VALUE"""),"CEC")</f>
        <v>CEC</v>
      </c>
      <c r="C205" s="1" t="str">
        <f ca="1">IFERROR(__xludf.DUMMYFUNCTION("""COMPUTED_VALUE"""),"ed981333615th")</f>
        <v>ed981333615th</v>
      </c>
      <c r="D205" s="1" t="str">
        <f ca="1">IFERROR(__xludf.DUMMYFUNCTION("""COMPUTED_VALUE"""),"ธัญญรัตน์")</f>
        <v>ธัญญรัตน์</v>
      </c>
      <c r="E205" s="1" t="str">
        <f ca="1">IFERROR(__xludf.DUMMYFUNCTION("""COMPUTED_VALUE"""),"02-7364242")</f>
        <v>02-7364242</v>
      </c>
      <c r="F205" s="1" t="str">
        <f ca="1">IFERROR(__xludf.DUMMYFUNCTION("""COMPUTED_VALUE"""),"บ.ฮอนด้า ลิสซิ่ง อาคารภิรัช ไบเทด")</f>
        <v>บ.ฮอนด้า ลิสซิ่ง อาคารภิรัช ไบเทด</v>
      </c>
      <c r="G205" s="1" t="str">
        <f ca="1">IFERROR(__xludf.DUMMYFUNCTION("""COMPUTED_VALUE"""),"ตรวจสอบการนำจ่าย")</f>
        <v>ตรวจสอบการนำจ่าย</v>
      </c>
      <c r="H205" s="1" t="str">
        <f ca="1">IFERROR(__xludf.DUMMYFUNCTION("""COMPUTED_VALUE"""),"-")</f>
        <v>-</v>
      </c>
      <c r="I205" s="1" t="str">
        <f ca="1">IFERROR(__xludf.DUMMYFUNCTION("""COMPUTED_VALUE"""),"-")</f>
        <v>-</v>
      </c>
      <c r="J205" s="1" t="str">
        <f ca="1">IFERROR(__xludf.DUMMYFUNCTION("""COMPUTED_VALUE"""),"นำจ่ายรถยนต์")</f>
        <v>นำจ่ายรถยนต์</v>
      </c>
      <c r="K205" s="1" t="str">
        <f ca="1">IFERROR(__xludf.DUMMYFUNCTION("""COMPUTED_VALUE"""),"แฟพ10260ำอก5005")</f>
        <v>แฟพ10260ำอก5005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ht="15.75" customHeight="1" x14ac:dyDescent="0.2">
      <c r="A206" s="8">
        <f ca="1">IFERROR(__xludf.DUMMYFUNCTION("""COMPUTED_VALUE"""),45253.526557037)</f>
        <v>45253.526557037003</v>
      </c>
      <c r="B206" s="1" t="str">
        <f ca="1">IFERROR(__xludf.DUMMYFUNCTION("""COMPUTED_VALUE"""),"CEC")</f>
        <v>CEC</v>
      </c>
      <c r="C206" s="1" t="str">
        <f ca="1">IFERROR(__xludf.DUMMYFUNCTION("""COMPUTED_VALUE"""),"eb734786449th")</f>
        <v>eb734786449th</v>
      </c>
      <c r="D206" s="1" t="str">
        <f ca="1">IFERROR(__xludf.DUMMYFUNCTION("""COMPUTED_VALUE"""),"กฤติธัช ")</f>
        <v xml:space="preserve">กฤติธัช </v>
      </c>
      <c r="E206" s="1" t="str">
        <f ca="1">IFERROR(__xludf.DUMMYFUNCTION("""COMPUTED_VALUE"""),"081-9179933")</f>
        <v>081-9179933</v>
      </c>
      <c r="F206" s="1" t="str">
        <f ca="1">IFERROR(__xludf.DUMMYFUNCTION("""COMPUTED_VALUE"""),"415/44 ซอย.29 บางจาก พระโขนง")</f>
        <v>415/44 ซอย.29 บางจาก พระโขนง</v>
      </c>
      <c r="G206" s="1" t="str">
        <f ca="1">IFERROR(__xludf.DUMMYFUNCTION("""COMPUTED_VALUE"""),"นำจ่ายใหม่")</f>
        <v>นำจ่ายใหม่</v>
      </c>
      <c r="H206" s="1" t="str">
        <f ca="1">IFERROR(__xludf.DUMMYFUNCTION("""COMPUTED_VALUE"""),"-")</f>
        <v>-</v>
      </c>
      <c r="I206" s="1" t="str">
        <f ca="1">IFERROR(__xludf.DUMMYFUNCTION("""COMPUTED_VALUE"""),"-")</f>
        <v>-</v>
      </c>
      <c r="J206" s="1" t="str">
        <f ca="1">IFERROR(__xludf.DUMMYFUNCTION("""COMPUTED_VALUE"""),"DB3")</f>
        <v>DB3</v>
      </c>
      <c r="K206" s="1" t="str">
        <f ca="1">IFERROR(__xludf.DUMMYFUNCTION("""COMPUTED_VALUE"""),"ems10260evd3024")</f>
        <v>ems10260evd3024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ht="15.75" customHeight="1" x14ac:dyDescent="0.2">
      <c r="A207" s="8">
        <f ca="1">IFERROR(__xludf.DUMMYFUNCTION("""COMPUTED_VALUE"""),45253.5345029629)</f>
        <v>45253.534502962902</v>
      </c>
      <c r="B207" s="1" t="str">
        <f ca="1">IFERROR(__xludf.DUMMYFUNCTION("""COMPUTED_VALUE"""),"CEC")</f>
        <v>CEC</v>
      </c>
      <c r="C207" s="1" t="str">
        <f ca="1">IFERROR(__xludf.DUMMYFUNCTION("""COMPUTED_VALUE"""),"ea866743853th")</f>
        <v>ea866743853th</v>
      </c>
      <c r="D207" s="1" t="str">
        <f ca="1">IFERROR(__xludf.DUMMYFUNCTION("""COMPUTED_VALUE"""),"ไอซ์")</f>
        <v>ไอซ์</v>
      </c>
      <c r="E207" s="1" t="str">
        <f ca="1">IFERROR(__xludf.DUMMYFUNCTION("""COMPUTED_VALUE"""),"098-2404584")</f>
        <v>098-2404584</v>
      </c>
      <c r="F207" s="1" t="str">
        <f ca="1">IFERROR(__xludf.DUMMYFUNCTION("""COMPUTED_VALUE"""),"839 เมตาเมออเน็ตอินเตอร์ ไพโรจน์กิจจา")</f>
        <v>839 เมตาเมออเน็ตอินเตอร์ ไพโรจน์กิจจา</v>
      </c>
      <c r="G207" s="1" t="str">
        <f ca="1">IFERROR(__xludf.DUMMYFUNCTION("""COMPUTED_VALUE"""),"นำจ่ายใหม่")</f>
        <v>นำจ่ายใหม่</v>
      </c>
      <c r="H207" s="1" t="str">
        <f ca="1">IFERROR(__xludf.DUMMYFUNCTION("""COMPUTED_VALUE"""),"COD.1,137 บาท")</f>
        <v>COD.1,137 บาท</v>
      </c>
      <c r="I207" s="1" t="str">
        <f ca="1">IFERROR(__xludf.DUMMYFUNCTION("""COMPUTED_VALUE"""),"-")</f>
        <v>-</v>
      </c>
      <c r="J207" s="1" t="str">
        <f ca="1">IFERROR(__xludf.DUMMYFUNCTION("""COMPUTED_VALUE"""),"DB2")</f>
        <v>DB2</v>
      </c>
      <c r="K207" s="1" t="str">
        <f ca="1">IFERROR(__xludf.DUMMYFUNCTION("""COMPUTED_VALUE"""),"ems10260evd2012")</f>
        <v>ems10260evd2012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ht="15.75" customHeight="1" x14ac:dyDescent="0.2">
      <c r="A208" s="8">
        <f ca="1">IFERROR(__xludf.DUMMYFUNCTION("""COMPUTED_VALUE"""),45253.6043662615)</f>
        <v>45253.604366261497</v>
      </c>
      <c r="B208" s="1" t="str">
        <f ca="1">IFERROR(__xludf.DUMMYFUNCTION("""COMPUTED_VALUE"""),"CEC")</f>
        <v>CEC</v>
      </c>
      <c r="C208" s="1" t="str">
        <f ca="1">IFERROR(__xludf.DUMMYFUNCTION("""COMPUTED_VALUE"""),"re784896813th")</f>
        <v>re784896813th</v>
      </c>
      <c r="D208" s="1" t="str">
        <f ca="1">IFERROR(__xludf.DUMMYFUNCTION("""COMPUTED_VALUE"""),"สุพัฒน์")</f>
        <v>สุพัฒน์</v>
      </c>
      <c r="E208" s="1" t="str">
        <f ca="1">IFERROR(__xludf.DUMMYFUNCTION("""COMPUTED_VALUE"""),"062-5161695")</f>
        <v>062-5161695</v>
      </c>
      <c r="F208" s="1" t="str">
        <f ca="1">IFERROR(__xludf.DUMMYFUNCTION("""COMPUTED_VALUE"""),"50/201 คอนโดลุมพินี บางนา กม.3")</f>
        <v>50/201 คอนโดลุมพินี บางนา กม.3</v>
      </c>
      <c r="G208" s="1" t="str">
        <f ca="1">IFERROR(__xludf.DUMMYFUNCTION("""COMPUTED_VALUE"""),"ตรวจสอบการนำจ่าย")</f>
        <v>ตรวจสอบการนำจ่าย</v>
      </c>
      <c r="H208" s="1" t="str">
        <f ca="1">IFERROR(__xludf.DUMMYFUNCTION("""COMPUTED_VALUE"""),"--")</f>
        <v>--</v>
      </c>
      <c r="I208" s="1" t="str">
        <f ca="1">IFERROR(__xludf.DUMMYFUNCTION("""COMPUTED_VALUE"""),"-")</f>
        <v>-</v>
      </c>
      <c r="J208" s="1" t="str">
        <f ca="1">IFERROR(__xludf.DUMMYFUNCTION("""COMPUTED_VALUE"""),"นำจ่ายรถยนต์")</f>
        <v>นำจ่ายรถยนต์</v>
      </c>
      <c r="K208" s="1" t="str">
        <f ca="1">IFERROR(__xludf.DUMMYFUNCTION("""COMPUTED_VALUE"""),"car10260evd5007")</f>
        <v>car10260evd5007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ht="15.75" customHeight="1" x14ac:dyDescent="0.2">
      <c r="A209" s="8">
        <f ca="1">IFERROR(__xludf.DUMMYFUNCTION("""COMPUTED_VALUE"""),45253.6062512152)</f>
        <v>45253.606251215198</v>
      </c>
      <c r="B209" s="1" t="str">
        <f ca="1">IFERROR(__xludf.DUMMYFUNCTION("""COMPUTED_VALUE"""),"CEC")</f>
        <v>CEC</v>
      </c>
      <c r="C209" s="1" t="str">
        <f ca="1">IFERROR(__xludf.DUMMYFUNCTION("""COMPUTED_VALUE"""),"ey878202807th")</f>
        <v>ey878202807th</v>
      </c>
      <c r="D209" s="1" t="str">
        <f ca="1">IFERROR(__xludf.DUMMYFUNCTION("""COMPUTED_VALUE"""),"อรอนินทร์")</f>
        <v>อรอนินทร์</v>
      </c>
      <c r="E209" s="1" t="str">
        <f ca="1">IFERROR(__xludf.DUMMYFUNCTION("""COMPUTED_VALUE"""),"081-5310445")</f>
        <v>081-5310445</v>
      </c>
      <c r="F209" s="1" t="str">
        <f ca="1">IFERROR(__xludf.DUMMYFUNCTION("""COMPUTED_VALUE"""),"46 บ้านเดอะร็อคทาวน์  ซ.วชิรธรรมสาธิต 64/1")</f>
        <v>46 บ้านเดอะร็อคทาวน์  ซ.วชิรธรรมสาธิต 64/1</v>
      </c>
      <c r="G209" s="1" t="str">
        <f ca="1">IFERROR(__xludf.DUMMYFUNCTION("""COMPUTED_VALUE"""),"ตรวจสอบการนำจ่าย")</f>
        <v>ตรวจสอบการนำจ่าย</v>
      </c>
      <c r="H209" s="1" t="str">
        <f ca="1">IFERROR(__xludf.DUMMYFUNCTION("""COMPUTED_VALUE"""),"-")</f>
        <v>-</v>
      </c>
      <c r="I209" s="1" t="str">
        <f ca="1">IFERROR(__xludf.DUMMYFUNCTION("""COMPUTED_VALUE"""),"-")</f>
        <v>-</v>
      </c>
      <c r="J209" s="1" t="str">
        <f ca="1">IFERROR(__xludf.DUMMYFUNCTION("""COMPUTED_VALUE"""),"DB3")</f>
        <v>DB3</v>
      </c>
      <c r="K209" s="1" t="str">
        <f ca="1">IFERROR(__xludf.DUMMYFUNCTION("""COMPUTED_VALUE"""),"ems10260evd0129")</f>
        <v>ems10260evd0129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ht="15.75" customHeight="1" x14ac:dyDescent="0.2">
      <c r="A210" s="8">
        <f ca="1">IFERROR(__xludf.DUMMYFUNCTION("""COMPUTED_VALUE"""),45254.3901993981)</f>
        <v>45254.390199398098</v>
      </c>
      <c r="B210" s="1" t="str">
        <f ca="1">IFERROR(__xludf.DUMMYFUNCTION("""COMPUTED_VALUE"""),"CEC")</f>
        <v>CEC</v>
      </c>
      <c r="C210" s="1" t="str">
        <f ca="1">IFERROR(__xludf.DUMMYFUNCTION("""COMPUTED_VALUE"""),"ed926693207th")</f>
        <v>ed926693207th</v>
      </c>
      <c r="D210" s="1" t="str">
        <f ca="1">IFERROR(__xludf.DUMMYFUNCTION("""COMPUTED_VALUE"""),"อภิญญา")</f>
        <v>อภิญญา</v>
      </c>
      <c r="E210" s="1" t="str">
        <f ca="1">IFERROR(__xludf.DUMMYFUNCTION("""COMPUTED_VALUE"""),"0962896359")</f>
        <v>0962896359</v>
      </c>
      <c r="F210" s="1" t="str">
        <f ca="1">IFERROR(__xludf.DUMMYFUNCTION("""COMPUTED_VALUE"""),"19 บางนาตราด 25")</f>
        <v>19 บางนาตราด 25</v>
      </c>
      <c r="G210" s="1" t="str">
        <f ca="1">IFERROR(__xludf.DUMMYFUNCTION("""COMPUTED_VALUE"""),"ตรวจสอบการนำจ่าย")</f>
        <v>ตรวจสอบการนำจ่าย</v>
      </c>
      <c r="H210" s="1" t="str">
        <f ca="1">IFERROR(__xludf.DUMMYFUNCTION("""COMPUTED_VALUE"""),"ผู้รับไม่ไดรับสิ่งของ")</f>
        <v>ผู้รับไม่ไดรับสิ่งของ</v>
      </c>
      <c r="I210" s="1" t="str">
        <f ca="1">IFERROR(__xludf.DUMMYFUNCTION("""COMPUTED_VALUE"""),"แจ้งเจ้าหน้าที่นำจ่าย")</f>
        <v>แจ้งเจ้าหน้าที่นำจ่าย</v>
      </c>
      <c r="J210" s="1" t="str">
        <f ca="1">IFERROR(__xludf.DUMMYFUNCTION("""COMPUTED_VALUE"""),"DB2")</f>
        <v>DB2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15.75" customHeight="1" x14ac:dyDescent="0.2">
      <c r="A211" s="8">
        <f ca="1">IFERROR(__xludf.DUMMYFUNCTION("""COMPUTED_VALUE"""),45254.4154237384)</f>
        <v>45254.415423738399</v>
      </c>
      <c r="B211" s="1" t="str">
        <f ca="1">IFERROR(__xludf.DUMMYFUNCTION("""COMPUTED_VALUE"""),"CEC")</f>
        <v>CEC</v>
      </c>
      <c r="C211" s="1" t="str">
        <f ca="1">IFERROR(__xludf.DUMMYFUNCTION("""COMPUTED_VALUE"""),"rm673305058th")</f>
        <v>rm673305058th</v>
      </c>
      <c r="D211" s="1" t="str">
        <f ca="1">IFERROR(__xludf.DUMMYFUNCTION("""COMPUTED_VALUE"""),"ศรัญญูู")</f>
        <v>ศรัญญูู</v>
      </c>
      <c r="E211" s="1" t="str">
        <f ca="1">IFERROR(__xludf.DUMMYFUNCTION("""COMPUTED_VALUE"""),"0974616166")</f>
        <v>0974616166</v>
      </c>
      <c r="F211" s="1" t="str">
        <f ca="1">IFERROR(__xludf.DUMMYFUNCTION("""COMPUTED_VALUE"""),"112/1422 แฟตบางนา")</f>
        <v>112/1422 แฟตบางนา</v>
      </c>
      <c r="G211" s="1" t="str">
        <f ca="1">IFERROR(__xludf.DUMMYFUNCTION("""COMPUTED_VALUE"""),"ตรวจสอบการนำจ่าย")</f>
        <v>ตรวจสอบการนำจ่าย</v>
      </c>
      <c r="H211" s="1" t="str">
        <f ca="1">IFERROR(__xludf.DUMMYFUNCTION("""COMPUTED_VALUE"""),"ผู้รับไม่ได้รับสิ่งของ")</f>
        <v>ผู้รับไม่ได้รับสิ่งของ</v>
      </c>
      <c r="I211" s="1" t="str">
        <f ca="1">IFERROR(__xludf.DUMMYFUNCTION("""COMPUTED_VALUE"""),"แจ้งเจ้าหน้าที่นำจ่ายแล้ว")</f>
        <v>แจ้งเจ้าหน้าที่นำจ่ายแล้ว</v>
      </c>
      <c r="J211" s="1" t="str">
        <f ca="1">IFERROR(__xludf.DUMMYFUNCTION("""COMPUTED_VALUE"""),"DB1")</f>
        <v>DB1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ht="15.75" customHeight="1" x14ac:dyDescent="0.2">
      <c r="A212" s="8">
        <f ca="1">IFERROR(__xludf.DUMMYFUNCTION("""COMPUTED_VALUE"""),45254.4929448958)</f>
        <v>45254.492944895799</v>
      </c>
      <c r="B212" s="1" t="str">
        <f ca="1">IFERROR(__xludf.DUMMYFUNCTION("""COMPUTED_VALUE"""),"CEC")</f>
        <v>CEC</v>
      </c>
      <c r="C212" s="1" t="str">
        <f ca="1">IFERROR(__xludf.DUMMYFUNCTION("""COMPUTED_VALUE"""),"re920451437th")</f>
        <v>re920451437th</v>
      </c>
      <c r="D212" s="1" t="str">
        <f ca="1">IFERROR(__xludf.DUMMYFUNCTION("""COMPUTED_VALUE"""),"วิภารัตน์")</f>
        <v>วิภารัตน์</v>
      </c>
      <c r="E212" s="1" t="str">
        <f ca="1">IFERROR(__xludf.DUMMYFUNCTION("""COMPUTED_VALUE"""),"0947504804")</f>
        <v>0947504804</v>
      </c>
      <c r="F212" s="1" t="str">
        <f ca="1">IFERROR(__xludf.DUMMYFUNCTION("""COMPUTED_VALUE"""),"17 อุดมสุข 46")</f>
        <v>17 อุดมสุข 46</v>
      </c>
      <c r="G212" s="1" t="str">
        <f ca="1">IFERROR(__xludf.DUMMYFUNCTION("""COMPUTED_VALUE"""),"ตรวจสอบการนำจ่าย")</f>
        <v>ตรวจสอบการนำจ่าย</v>
      </c>
      <c r="H212" s="1" t="str">
        <f ca="1">IFERROR(__xludf.DUMMYFUNCTION("""COMPUTED_VALUE"""),"ผู้รับไม่ได้รับสิ่งของ")</f>
        <v>ผู้รับไม่ได้รับสิ่งของ</v>
      </c>
      <c r="I212" s="1" t="str">
        <f ca="1">IFERROR(__xludf.DUMMYFUNCTION("""COMPUTED_VALUE"""),"แจ้งเจ้าที่นำจ่ายแล้ว")</f>
        <v>แจ้งเจ้าที่นำจ่ายแล้ว</v>
      </c>
      <c r="J212" s="1" t="str">
        <f ca="1">IFERROR(__xludf.DUMMYFUNCTION("""COMPUTED_VALUE"""),"DB2")</f>
        <v>DB2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ht="15.75" customHeight="1" x14ac:dyDescent="0.2">
      <c r="A213" s="8">
        <f ca="1">IFERROR(__xludf.DUMMYFUNCTION("""COMPUTED_VALUE"""),45254.51352625)</f>
        <v>45254.513526249997</v>
      </c>
      <c r="B213" s="1" t="str">
        <f ca="1">IFERROR(__xludf.DUMMYFUNCTION("""COMPUTED_VALUE"""),"CEC")</f>
        <v>CEC</v>
      </c>
      <c r="C213" s="1" t="str">
        <f ca="1">IFERROR(__xludf.DUMMYFUNCTION("""COMPUTED_VALUE"""),"ej309697556th")</f>
        <v>ej309697556th</v>
      </c>
      <c r="D213" s="1" t="str">
        <f ca="1">IFERROR(__xludf.DUMMYFUNCTION("""COMPUTED_VALUE"""),"ธนาภรณ์ ")</f>
        <v xml:space="preserve">ธนาภรณ์ </v>
      </c>
      <c r="E213" s="1" t="str">
        <f ca="1">IFERROR(__xludf.DUMMYFUNCTION("""COMPUTED_VALUE"""),"061-8010388")</f>
        <v>061-8010388</v>
      </c>
      <c r="F213" s="1" t="str">
        <f ca="1">IFERROR(__xludf.DUMMYFUNCTION("""COMPUTED_VALUE"""),"1558/58 บ้านกล่งกรุง บางนา ตราด")</f>
        <v>1558/58 บ้านกล่งกรุง บางนา ตราด</v>
      </c>
      <c r="G213" s="1" t="str">
        <f ca="1">IFERROR(__xludf.DUMMYFUNCTION("""COMPUTED_VALUE"""),"นำจ่ายใหม่")</f>
        <v>นำจ่ายใหม่</v>
      </c>
      <c r="H213" s="1" t="str">
        <f ca="1">IFERROR(__xludf.DUMMYFUNCTION("""COMPUTED_VALUE"""),"-")</f>
        <v>-</v>
      </c>
      <c r="I213" s="1" t="str">
        <f ca="1">IFERROR(__xludf.DUMMYFUNCTION("""COMPUTED_VALUE"""),"-")</f>
        <v>-</v>
      </c>
      <c r="J213" s="1" t="str">
        <f ca="1">IFERROR(__xludf.DUMMYFUNCTION("""COMPUTED_VALUE"""),"DB1")</f>
        <v>DB1</v>
      </c>
      <c r="K213" s="1" t="str">
        <f ca="1">IFERROR(__xludf.DUMMYFUNCTION("""COMPUTED_VALUE"""),"ema10260evd1031")</f>
        <v>ema10260evd1031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ht="15.75" customHeight="1" x14ac:dyDescent="0.2">
      <c r="A214" s="8">
        <f ca="1">IFERROR(__xludf.DUMMYFUNCTION("""COMPUTED_VALUE"""),45254.5155055208)</f>
        <v>45254.515505520802</v>
      </c>
      <c r="B214" s="1" t="str">
        <f ca="1">IFERROR(__xludf.DUMMYFUNCTION("""COMPUTED_VALUE"""),"CEC")</f>
        <v>CEC</v>
      </c>
      <c r="C214" s="1" t="str">
        <f ca="1">IFERROR(__xludf.DUMMYFUNCTION("""COMPUTED_VALUE"""),"ed897273925th")</f>
        <v>ed897273925th</v>
      </c>
      <c r="D214" s="1" t="str">
        <f ca="1">IFERROR(__xludf.DUMMYFUNCTION("""COMPUTED_VALUE"""),"ชัยสิทธิ์")</f>
        <v>ชัยสิทธิ์</v>
      </c>
      <c r="E214" s="1" t="str">
        <f ca="1">IFERROR(__xludf.DUMMYFUNCTION("""COMPUTED_VALUE"""),"-")</f>
        <v>-</v>
      </c>
      <c r="F214" s="1" t="str">
        <f ca="1">IFERROR(__xludf.DUMMYFUNCTION("""COMPUTED_VALUE"""),"2 อพาร์ทเมนท์ลีโอเฮ้าส์ ซ.พึ่งมี13")</f>
        <v>2 อพาร์ทเมนท์ลีโอเฮ้าส์ ซ.พึ่งมี13</v>
      </c>
      <c r="G214" s="1" t="str">
        <f ca="1">IFERROR(__xludf.DUMMYFUNCTION("""COMPUTED_VALUE"""),"ตรวจสอบการนำจ่าย")</f>
        <v>ตรวจสอบการนำจ่าย</v>
      </c>
      <c r="H214" s="1" t="str">
        <f ca="1">IFERROR(__xludf.DUMMYFUNCTION("""COMPUTED_VALUE"""),"-")</f>
        <v>-</v>
      </c>
      <c r="I214" s="1" t="str">
        <f ca="1">IFERROR(__xludf.DUMMYFUNCTION("""COMPUTED_VALUE"""),"-")</f>
        <v>-</v>
      </c>
      <c r="J214" s="1" t="str">
        <f ca="1">IFERROR(__xludf.DUMMYFUNCTION("""COMPUTED_VALUE"""),"นำจ่ายรถยนต์")</f>
        <v>นำจ่ายรถยนต์</v>
      </c>
      <c r="K214" s="1" t="str">
        <f ca="1">IFERROR(__xludf.DUMMYFUNCTION("""COMPUTED_VALUE"""),"car10260evd5014")</f>
        <v>car10260evd5014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ht="15.75" customHeight="1" x14ac:dyDescent="0.2">
      <c r="A215" s="8">
        <f ca="1">IFERROR(__xludf.DUMMYFUNCTION("""COMPUTED_VALUE"""),45254.5219761574)</f>
        <v>45254.521976157397</v>
      </c>
      <c r="B215" s="1" t="str">
        <f ca="1">IFERROR(__xludf.DUMMYFUNCTION("""COMPUTED_VALUE"""),"CEC")</f>
        <v>CEC</v>
      </c>
      <c r="C215" s="1" t="str">
        <f ca="1">IFERROR(__xludf.DUMMYFUNCTION("""COMPUTED_VALUE"""),"em266224640th")</f>
        <v>em266224640th</v>
      </c>
      <c r="D215" s="1" t="str">
        <f ca="1">IFERROR(__xludf.DUMMYFUNCTION("""COMPUTED_VALUE"""),"พิษณุ")</f>
        <v>พิษณุ</v>
      </c>
      <c r="E215" s="1" t="str">
        <f ca="1">IFERROR(__xludf.DUMMYFUNCTION("""COMPUTED_VALUE"""),"061-6056895")</f>
        <v>061-6056895</v>
      </c>
      <c r="F215" s="1" t="str">
        <f ca="1">IFERROR(__xludf.DUMMYFUNCTION("""COMPUTED_VALUE"""),"25/7 อพาร์ทเมนท์บัวเกิด ซ.บัวเกิด11")</f>
        <v>25/7 อพาร์ทเมนท์บัวเกิด ซ.บัวเกิด11</v>
      </c>
      <c r="G215" s="1" t="str">
        <f ca="1">IFERROR(__xludf.DUMMYFUNCTION("""COMPUTED_VALUE"""),"ตรวจสอบการนำจ่าย")</f>
        <v>ตรวจสอบการนำจ่าย</v>
      </c>
      <c r="H215" s="1" t="str">
        <f ca="1">IFERROR(__xludf.DUMMYFUNCTION("""COMPUTED_VALUE"""),"-")</f>
        <v>-</v>
      </c>
      <c r="I215" s="1" t="str">
        <f ca="1">IFERROR(__xludf.DUMMYFUNCTION("""COMPUTED_VALUE"""),"-")</f>
        <v>-</v>
      </c>
      <c r="J215" s="1" t="str">
        <f ca="1">IFERROR(__xludf.DUMMYFUNCTION("""COMPUTED_VALUE"""),"DB2")</f>
        <v>DB2</v>
      </c>
      <c r="K215" s="1" t="str">
        <f ca="1">IFERROR(__xludf.DUMMYFUNCTION("""COMPUTED_VALUE"""),"ems10260evd2006")</f>
        <v>ems10260evd2006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ht="15.75" customHeight="1" x14ac:dyDescent="0.2">
      <c r="A216" s="8">
        <f ca="1">IFERROR(__xludf.DUMMYFUNCTION("""COMPUTED_VALUE"""),45254.5235205324)</f>
        <v>45254.523520532399</v>
      </c>
      <c r="B216" s="1" t="str">
        <f ca="1">IFERROR(__xludf.DUMMYFUNCTION("""COMPUTED_VALUE"""),"CEC")</f>
        <v>CEC</v>
      </c>
      <c r="C216" s="1" t="str">
        <f ca="1">IFERROR(__xludf.DUMMYFUNCTION("""COMPUTED_VALUE"""),"en503279659th")</f>
        <v>en503279659th</v>
      </c>
      <c r="D216" s="1" t="str">
        <f ca="1">IFERROR(__xludf.DUMMYFUNCTION("""COMPUTED_VALUE"""),"ราตรี")</f>
        <v>ราตรี</v>
      </c>
      <c r="E216" s="1" t="str">
        <f ca="1">IFERROR(__xludf.DUMMYFUNCTION("""COMPUTED_VALUE"""),"092-5364963")</f>
        <v>092-5364963</v>
      </c>
      <c r="F216" s="1" t="str">
        <f ca="1">IFERROR(__xludf.DUMMYFUNCTION("""COMPUTED_VALUE"""),"417/61 บ้านทับแก้ว ซ.สาธิต 29")</f>
        <v>417/61 บ้านทับแก้ว ซ.สาธิต 29</v>
      </c>
      <c r="G216" s="1" t="str">
        <f ca="1">IFERROR(__xludf.DUMMYFUNCTION("""COMPUTED_VALUE"""),"นำจ่ายใหม่")</f>
        <v>นำจ่ายใหม่</v>
      </c>
      <c r="H216" s="1" t="str">
        <f ca="1">IFERROR(__xludf.DUMMYFUNCTION("""COMPUTED_VALUE"""),"--")</f>
        <v>--</v>
      </c>
      <c r="I216" s="1" t="str">
        <f ca="1">IFERROR(__xludf.DUMMYFUNCTION("""COMPUTED_VALUE"""),"-")</f>
        <v>-</v>
      </c>
      <c r="J216" s="1" t="str">
        <f ca="1">IFERROR(__xludf.DUMMYFUNCTION("""COMPUTED_VALUE"""),"DB3")</f>
        <v>DB3</v>
      </c>
      <c r="K216" s="1" t="str">
        <f ca="1">IFERROR(__xludf.DUMMYFUNCTION("""COMPUTED_VALUE"""),"ema10260evd3024")</f>
        <v>ema10260evd3024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ht="15.75" customHeight="1" x14ac:dyDescent="0.2">
      <c r="A217" s="8">
        <f ca="1">IFERROR(__xludf.DUMMYFUNCTION("""COMPUTED_VALUE"""),45254.5251815625)</f>
        <v>45254.525181562502</v>
      </c>
      <c r="B217" s="1" t="str">
        <f ca="1">IFERROR(__xludf.DUMMYFUNCTION("""COMPUTED_VALUE"""),"CEC")</f>
        <v>CEC</v>
      </c>
      <c r="C217" s="1" t="str">
        <f ca="1">IFERROR(__xludf.DUMMYFUNCTION("""COMPUTED_VALUE"""),"ed021101075th")</f>
        <v>ed021101075th</v>
      </c>
      <c r="D217" s="1" t="str">
        <f ca="1">IFERROR(__xludf.DUMMYFUNCTION("""COMPUTED_VALUE"""),"คงศักดิ์")</f>
        <v>คงศักดิ์</v>
      </c>
      <c r="E217" s="1" t="str">
        <f ca="1">IFERROR(__xludf.DUMMYFUNCTION("""COMPUTED_VALUE"""),"064-0480348")</f>
        <v>064-0480348</v>
      </c>
      <c r="F217" s="1" t="str">
        <f ca="1">IFERROR(__xludf.DUMMYFUNCTION("""COMPUTED_VALUE"""),"คอนโดนิรันดร์ ตึก ซี ชั่น3 อุดมสุข56")</f>
        <v>คอนโดนิรันดร์ ตึก ซี ชั่น3 อุดมสุข56</v>
      </c>
      <c r="G217" s="1" t="str">
        <f ca="1">IFERROR(__xludf.DUMMYFUNCTION("""COMPUTED_VALUE"""),"ตรวจสอบการนำจ่าย")</f>
        <v>ตรวจสอบการนำจ่าย</v>
      </c>
      <c r="H217" s="1" t="str">
        <f ca="1">IFERROR(__xludf.DUMMYFUNCTION("""COMPUTED_VALUE"""),"-")</f>
        <v>-</v>
      </c>
      <c r="I217" s="1" t="str">
        <f ca="1">IFERROR(__xludf.DUMMYFUNCTION("""COMPUTED_VALUE"""),"-")</f>
        <v>-</v>
      </c>
      <c r="J217" s="1" t="str">
        <f ca="1">IFERROR(__xludf.DUMMYFUNCTION("""COMPUTED_VALUE"""),"DB2")</f>
        <v>DB2</v>
      </c>
      <c r="K217" s="1" t="str">
        <f ca="1">IFERROR(__xludf.DUMMYFUNCTION("""COMPUTED_VALUE"""),"ems10260evd2013")</f>
        <v>ems10260evd2013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ht="15.75" customHeight="1" x14ac:dyDescent="0.2">
      <c r="A218" s="8">
        <f ca="1">IFERROR(__xludf.DUMMYFUNCTION("""COMPUTED_VALUE"""),45254.5281774305)</f>
        <v>45254.528177430497</v>
      </c>
      <c r="B218" s="1" t="str">
        <f ca="1">IFERROR(__xludf.DUMMYFUNCTION("""COMPUTED_VALUE"""),"CEC")</f>
        <v>CEC</v>
      </c>
      <c r="C218" s="1" t="str">
        <f ca="1">IFERROR(__xludf.DUMMYFUNCTION("""COMPUTED_VALUE"""),"eb518553079th")</f>
        <v>eb518553079th</v>
      </c>
      <c r="D218" s="1" t="str">
        <f ca="1">IFERROR(__xludf.DUMMYFUNCTION("""COMPUTED_VALUE"""),"นิรันต์รัตน์")</f>
        <v>นิรันต์รัตน์</v>
      </c>
      <c r="E218" s="1" t="str">
        <f ca="1">IFERROR(__xludf.DUMMYFUNCTION("""COMPUTED_VALUE"""),"02-0885811")</f>
        <v>02-0885811</v>
      </c>
      <c r="F218" s="1" t="str">
        <f ca="1">IFERROR(__xludf.DUMMYFUNCTION("""COMPUTED_VALUE"""),"135 ซอย.สุขุมวิท 62")</f>
        <v>135 ซอย.สุขุมวิท 62</v>
      </c>
      <c r="G218" s="1" t="str">
        <f ca="1">IFERROR(__xludf.DUMMYFUNCTION("""COMPUTED_VALUE"""),"ตรวจสอบการนำจ่าย")</f>
        <v>ตรวจสอบการนำจ่าย</v>
      </c>
      <c r="H218" s="1" t="str">
        <f ca="1">IFERROR(__xludf.DUMMYFUNCTION("""COMPUTED_VALUE"""),"-")</f>
        <v>-</v>
      </c>
      <c r="I218" s="1" t="str">
        <f ca="1">IFERROR(__xludf.DUMMYFUNCTION("""COMPUTED_VALUE"""),"-")</f>
        <v>-</v>
      </c>
      <c r="J218" s="1" t="str">
        <f ca="1">IFERROR(__xludf.DUMMYFUNCTION("""COMPUTED_VALUE"""),"DB4")</f>
        <v>DB4</v>
      </c>
      <c r="K218" s="1" t="str">
        <f ca="1">IFERROR(__xludf.DUMMYFUNCTION("""COMPUTED_VALUE"""),"ems10260evd4011")</f>
        <v>ems10260evd4011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ht="15.75" customHeight="1" x14ac:dyDescent="0.2">
      <c r="A219" s="8">
        <f ca="1">IFERROR(__xludf.DUMMYFUNCTION("""COMPUTED_VALUE"""),45254.5296676851)</f>
        <v>45254.529667685099</v>
      </c>
      <c r="B219" s="1" t="str">
        <f ca="1">IFERROR(__xludf.DUMMYFUNCTION("""COMPUTED_VALUE"""),"CEC")</f>
        <v>CEC</v>
      </c>
      <c r="C219" s="1" t="str">
        <f ca="1">IFERROR(__xludf.DUMMYFUNCTION("""COMPUTED_VALUE"""),"eb524581312th")</f>
        <v>eb524581312th</v>
      </c>
      <c r="D219" s="1" t="str">
        <f ca="1">IFERROR(__xludf.DUMMYFUNCTION("""COMPUTED_VALUE"""),"อนุสรณ์")</f>
        <v>อนุสรณ์</v>
      </c>
      <c r="E219" s="1" t="str">
        <f ca="1">IFERROR(__xludf.DUMMYFUNCTION("""COMPUTED_VALUE"""),"092-5801615")</f>
        <v>092-5801615</v>
      </c>
      <c r="F219" s="1" t="str">
        <f ca="1">IFERROR(__xludf.DUMMYFUNCTION("""COMPUTED_VALUE"""),"1/2473 บ้านเอื้ออมรสุข ริมทางรถไฟเก่าฯ")</f>
        <v>1/2473 บ้านเอื้ออมรสุข ริมทางรถไฟเก่าฯ</v>
      </c>
      <c r="G219" s="1" t="str">
        <f ca="1">IFERROR(__xludf.DUMMYFUNCTION("""COMPUTED_VALUE"""),"ตรวจสอบการนำจ่าย")</f>
        <v>ตรวจสอบการนำจ่าย</v>
      </c>
      <c r="H219" s="1" t="str">
        <f ca="1">IFERROR(__xludf.DUMMYFUNCTION("""COMPUTED_VALUE"""),"ขอคืนแนบการส่ง mail มาด้วย")</f>
        <v>ขอคืนแนบการส่ง mail มาด้วย</v>
      </c>
      <c r="I219" s="1" t="str">
        <f ca="1">IFERROR(__xludf.DUMMYFUNCTION("""COMPUTED_VALUE"""),"-")</f>
        <v>-</v>
      </c>
      <c r="J219" s="1" t="str">
        <f ca="1">IFERROR(__xludf.DUMMYFUNCTION("""COMPUTED_VALUE"""),"DB4")</f>
        <v>DB4</v>
      </c>
      <c r="K219" s="1" t="str">
        <f ca="1">IFERROR(__xludf.DUMMYFUNCTION("""COMPUTED_VALUE"""),"ems10260evd4011")</f>
        <v>ems10260evd4011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ht="15.75" customHeight="1" x14ac:dyDescent="0.2">
      <c r="A220" s="8">
        <f ca="1">IFERROR(__xludf.DUMMYFUNCTION("""COMPUTED_VALUE"""),45255.4282617939)</f>
        <v>45255.428261793902</v>
      </c>
      <c r="B220" s="1" t="str">
        <f ca="1">IFERROR(__xludf.DUMMYFUNCTION("""COMPUTED_VALUE"""),"CEC")</f>
        <v>CEC</v>
      </c>
      <c r="C220" s="1" t="str">
        <f ca="1">IFERROR(__xludf.DUMMYFUNCTION("""COMPUTED_VALUE"""),"ej645081266h")</f>
        <v>ej645081266h</v>
      </c>
      <c r="D220" s="1" t="str">
        <f ca="1">IFERROR(__xludf.DUMMYFUNCTION("""COMPUTED_VALUE"""),"บ.โซริซึ")</f>
        <v>บ.โซริซึ</v>
      </c>
      <c r="E220" s="1" t="str">
        <f ca="1">IFERROR(__xludf.DUMMYFUNCTION("""COMPUTED_VALUE"""),"0640480348")</f>
        <v>0640480348</v>
      </c>
      <c r="F220" s="1" t="str">
        <f ca="1">IFERROR(__xludf.DUMMYFUNCTION("""COMPUTED_VALUE"""),"1/12 บางนาธานี")</f>
        <v>1/12 บางนาธานี</v>
      </c>
      <c r="G220" s="1" t="str">
        <f ca="1">IFERROR(__xludf.DUMMYFUNCTION("""COMPUTED_VALUE"""),"ตรวจสอบการนำจ่าย")</f>
        <v>ตรวจสอบการนำจ่าย</v>
      </c>
      <c r="H220" s="1" t="str">
        <f ca="1">IFERROR(__xludf.DUMMYFUNCTION("""COMPUTED_VALUE"""),"ผู้รับไม่ได้รับจดหมาย")</f>
        <v>ผู้รับไม่ได้รับจดหมาย</v>
      </c>
      <c r="I220" s="1" t="str">
        <f ca="1">IFERROR(__xludf.DUMMYFUNCTION("""COMPUTED_VALUE"""),"แจ้งเจ้าหน้านำจ่ายแล้ว")</f>
        <v>แจ้งเจ้าหน้านำจ่ายแล้ว</v>
      </c>
      <c r="J220" s="1" t="str">
        <f ca="1">IFERROR(__xludf.DUMMYFUNCTION("""COMPUTED_VALUE"""),"DB1")</f>
        <v>DB1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15.75" customHeight="1" x14ac:dyDescent="0.2">
      <c r="A221" s="8">
        <f ca="1">IFERROR(__xludf.DUMMYFUNCTION("""COMPUTED_VALUE"""),45255.52182728)</f>
        <v>45255.521827279998</v>
      </c>
      <c r="B221" s="1" t="str">
        <f ca="1">IFERROR(__xludf.DUMMYFUNCTION("""COMPUTED_VALUE"""),"CEC")</f>
        <v>CEC</v>
      </c>
      <c r="C221" s="1" t="str">
        <f ca="1">IFERROR(__xludf.DUMMYFUNCTION("""COMPUTED_VALUE"""),"rk326067382th")</f>
        <v>rk326067382th</v>
      </c>
      <c r="D221" s="1" t="str">
        <f ca="1">IFERROR(__xludf.DUMMYFUNCTION("""COMPUTED_VALUE"""),"คุณอา่ภาพรรณ")</f>
        <v>คุณอา่ภาพรรณ</v>
      </c>
      <c r="E221" s="1" t="str">
        <f ca="1">IFERROR(__xludf.DUMMYFUNCTION("""COMPUTED_VALUE"""),"0955499151")</f>
        <v>0955499151</v>
      </c>
      <c r="F221" s="1" t="str">
        <f ca="1">IFERROR(__xludf.DUMMYFUNCTION("""COMPUTED_VALUE"""),"103 อุดมสุข 43")</f>
        <v>103 อุดมสุข 43</v>
      </c>
      <c r="G221" s="1" t="str">
        <f ca="1">IFERROR(__xludf.DUMMYFUNCTION("""COMPUTED_VALUE"""),"ตรวจสอบการนำจ่าย")</f>
        <v>ตรวจสอบการนำจ่าย</v>
      </c>
      <c r="H221" s="1" t="str">
        <f ca="1">IFERROR(__xludf.DUMMYFUNCTION("""COMPUTED_VALUE"""),"ผูรับจะติดต่อขอรับเอง")</f>
        <v>ผูรับจะติดต่อขอรับเอง</v>
      </c>
      <c r="I221" s="1" t="str">
        <f ca="1">IFERROR(__xludf.DUMMYFUNCTION("""COMPUTED_VALUE"""),"เเจ้งเจ้าหน้าที่ ที่เกี่ยวข้องแล้ว")</f>
        <v>เเจ้งเจ้าหน้าที่ ที่เกี่ยวข้องแล้ว</v>
      </c>
      <c r="J221" s="1" t="str">
        <f ca="1">IFERROR(__xludf.DUMMYFUNCTION("""COMPUTED_VALUE"""),"DB3")</f>
        <v>DB3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5.75" customHeight="1" x14ac:dyDescent="0.2">
      <c r="A222" s="8">
        <f ca="1">IFERROR(__xludf.DUMMYFUNCTION("""COMPUTED_VALUE"""),45258.4225024305)</f>
        <v>45258.422502430498</v>
      </c>
      <c r="B222" s="1" t="str">
        <f ca="1">IFERROR(__xludf.DUMMYFUNCTION("""COMPUTED_VALUE"""),"CEC")</f>
        <v>CEC</v>
      </c>
      <c r="C222" s="1" t="str">
        <f ca="1">IFERROR(__xludf.DUMMYFUNCTION("""COMPUTED_VALUE"""),"ea726363854th")</f>
        <v>ea726363854th</v>
      </c>
      <c r="D222" s="1" t="str">
        <f ca="1">IFERROR(__xludf.DUMMYFUNCTION("""COMPUTED_VALUE"""),"ภัทรวดี")</f>
        <v>ภัทรวดี</v>
      </c>
      <c r="E222" s="1" t="str">
        <f ca="1">IFERROR(__xludf.DUMMYFUNCTION("""COMPUTED_VALUE"""),"0982864269")</f>
        <v>0982864269</v>
      </c>
      <c r="F222" s="1" t="str">
        <f ca="1">IFERROR(__xludf.DUMMYFUNCTION("""COMPUTED_VALUE"""),"1332/1 สุขุมวิทย์ 50")</f>
        <v>1332/1 สุขุมวิทย์ 50</v>
      </c>
      <c r="G222" s="1" t="str">
        <f ca="1">IFERROR(__xludf.DUMMYFUNCTION("""COMPUTED_VALUE"""),"นำจ่ายใหม่")</f>
        <v>นำจ่ายใหม่</v>
      </c>
      <c r="H222" s="1" t="str">
        <f ca="1">IFERROR(__xludf.DUMMYFUNCTION("""COMPUTED_VALUE"""),"ปิด")</f>
        <v>ปิด</v>
      </c>
      <c r="I222" s="1" t="str">
        <f ca="1">IFERROR(__xludf.DUMMYFUNCTION("""COMPUTED_VALUE"""),"แจ้งเจ้าหน้าที่นำจ่ายแล้ว")</f>
        <v>แจ้งเจ้าหน้าที่นำจ่ายแล้ว</v>
      </c>
      <c r="J222" s="1" t="str">
        <f ca="1">IFERROR(__xludf.DUMMYFUNCTION("""COMPUTED_VALUE"""),"นำจ่ายรถยนต์")</f>
        <v>นำจ่ายรถยนต์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5.75" customHeight="1" x14ac:dyDescent="0.2">
      <c r="A223" s="8">
        <f ca="1">IFERROR(__xludf.DUMMYFUNCTION("""COMPUTED_VALUE"""),45258.4970924768)</f>
        <v>45258.497092476799</v>
      </c>
      <c r="B223" s="1" t="str">
        <f ca="1">IFERROR(__xludf.DUMMYFUNCTION("""COMPUTED_VALUE"""),"CEC")</f>
        <v>CEC</v>
      </c>
      <c r="C223" s="1" t="str">
        <f ca="1">IFERROR(__xludf.DUMMYFUNCTION("""COMPUTED_VALUE"""),"ra545634143th")</f>
        <v>ra545634143th</v>
      </c>
      <c r="D223" s="1" t="str">
        <f ca="1">IFERROR(__xludf.DUMMYFUNCTION("""COMPUTED_VALUE"""),"ศศิธร")</f>
        <v>ศศิธร</v>
      </c>
      <c r="E223" s="1" t="str">
        <f ca="1">IFERROR(__xludf.DUMMYFUNCTION("""COMPUTED_VALUE"""),"0807929565")</f>
        <v>0807929565</v>
      </c>
      <c r="F223" s="1" t="str">
        <f ca="1">IFERROR(__xludf.DUMMYFUNCTION("""COMPUTED_VALUE"""),"  ศศิธร")</f>
        <v xml:space="preserve">  ศศิธร</v>
      </c>
      <c r="G223" s="1" t="str">
        <f ca="1">IFERROR(__xludf.DUMMYFUNCTION("""COMPUTED_VALUE"""),"นำจ่ายใหม่")</f>
        <v>นำจ่ายใหม่</v>
      </c>
      <c r="H223" s="1" t="str">
        <f ca="1">IFERROR(__xludf.DUMMYFUNCTION("""COMPUTED_VALUE"""),"ออกใบแจ้ง")</f>
        <v>ออกใบแจ้ง</v>
      </c>
      <c r="I223" s="1" t="str">
        <f ca="1">IFERROR(__xludf.DUMMYFUNCTION("""COMPUTED_VALUE"""),"แจ้งเจ้าหน้านำจ่ายแล้ว")</f>
        <v>แจ้งเจ้าหน้านำจ่ายแล้ว</v>
      </c>
      <c r="J223" s="1" t="str">
        <f ca="1">IFERROR(__xludf.DUMMYFUNCTION("""COMPUTED_VALUE"""),"DB2")</f>
        <v>DB2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5.75" customHeight="1" x14ac:dyDescent="0.2">
      <c r="A224" s="8">
        <f ca="1">IFERROR(__xludf.DUMMYFUNCTION("""COMPUTED_VALUE"""),45258.4983481944)</f>
        <v>45258.4983481944</v>
      </c>
      <c r="B224" s="1" t="str">
        <f ca="1">IFERROR(__xludf.DUMMYFUNCTION("""COMPUTED_VALUE"""),"CEC")</f>
        <v>CEC</v>
      </c>
      <c r="C224" s="1" t="str">
        <f ca="1">IFERROR(__xludf.DUMMYFUNCTION("""COMPUTED_VALUE"""),"rn0050609694th")</f>
        <v>rn0050609694th</v>
      </c>
      <c r="D224" s="1" t="str">
        <f ca="1">IFERROR(__xludf.DUMMYFUNCTION("""COMPUTED_VALUE"""),"เมฆิน")</f>
        <v>เมฆิน</v>
      </c>
      <c r="E224" s="1" t="str">
        <f ca="1">IFERROR(__xludf.DUMMYFUNCTION("""COMPUTED_VALUE"""),"0814380979")</f>
        <v>0814380979</v>
      </c>
      <c r="F224" s="1" t="str">
        <f ca="1">IFERROR(__xludf.DUMMYFUNCTION("""COMPUTED_VALUE"""),"639 ซ103  บางจาก")</f>
        <v>639 ซ103  บางจาก</v>
      </c>
      <c r="G224" s="1" t="str">
        <f ca="1">IFERROR(__xludf.DUMMYFUNCTION("""COMPUTED_VALUE"""),"ตรวจสอบการนำจ่าย")</f>
        <v>ตรวจสอบการนำจ่าย</v>
      </c>
      <c r="H224" s="1" t="str">
        <f ca="1">IFERROR(__xludf.DUMMYFUNCTION("""COMPUTED_VALUE"""),"ให้คืนจดหมายผู้ฝากส่งเลย")</f>
        <v>ให้คืนจดหมายผู้ฝากส่งเลย</v>
      </c>
      <c r="I224" s="1" t="str">
        <f ca="1">IFERROR(__xludf.DUMMYFUNCTION("""COMPUTED_VALUE"""),"แจ้งเจ้าหน้านำจ่ายแล้ว")</f>
        <v>แจ้งเจ้าหน้านำจ่ายแล้ว</v>
      </c>
      <c r="J224" s="1" t="str">
        <f ca="1">IFERROR(__xludf.DUMMYFUNCTION("""COMPUTED_VALUE"""),"DB3")</f>
        <v>DB3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5.75" customHeight="1" x14ac:dyDescent="0.2">
      <c r="A225" s="8">
        <f ca="1">IFERROR(__xludf.DUMMYFUNCTION("""COMPUTED_VALUE"""),45258.5160140393)</f>
        <v>45258.516014039298</v>
      </c>
      <c r="B225" s="1" t="str">
        <f ca="1">IFERROR(__xludf.DUMMYFUNCTION("""COMPUTED_VALUE"""),"CEC")</f>
        <v>CEC</v>
      </c>
      <c r="C225" s="1" t="str">
        <f ca="1">IFERROR(__xludf.DUMMYFUNCTION("""COMPUTED_VALUE"""),"ed958429725th")</f>
        <v>ed958429725th</v>
      </c>
      <c r="D225" s="1" t="str">
        <f ca="1">IFERROR(__xludf.DUMMYFUNCTION("""COMPUTED_VALUE"""),"พงศ์บูณย์")</f>
        <v>พงศ์บูณย์</v>
      </c>
      <c r="E225" s="1" t="str">
        <f ca="1">IFERROR(__xludf.DUMMYFUNCTION("""COMPUTED_VALUE"""),"0649855165")</f>
        <v>0649855165</v>
      </c>
      <c r="F225" s="1" t="str">
        <f ca="1">IFERROR(__xludf.DUMMYFUNCTION("""COMPUTED_VALUE"""),"1 บางนตราด 21แยก 9")</f>
        <v>1 บางนตราด 21แยก 9</v>
      </c>
      <c r="G225" s="1" t="str">
        <f ca="1">IFERROR(__xludf.DUMMYFUNCTION("""COMPUTED_VALUE"""),"นำจ่ายใหม่")</f>
        <v>นำจ่ายใหม่</v>
      </c>
      <c r="H225" s="1" t="str">
        <f ca="1">IFERROR(__xludf.DUMMYFUNCTION("""COMPUTED_VALUE"""),"บ้านปิด")</f>
        <v>บ้านปิด</v>
      </c>
      <c r="I225" s="1" t="str">
        <f ca="1">IFERROR(__xludf.DUMMYFUNCTION("""COMPUTED_VALUE"""),"แจ้งเจ้าหน้าที่นำจ่ายแล้ว")</f>
        <v>แจ้งเจ้าหน้าที่นำจ่ายแล้ว</v>
      </c>
      <c r="J225" s="1" t="str">
        <f ca="1">IFERROR(__xludf.DUMMYFUNCTION("""COMPUTED_VALUE"""),"นำจ่ายรถยนต์")</f>
        <v>นำจ่ายรถยนต์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5.75" customHeight="1" x14ac:dyDescent="0.2">
      <c r="A226" s="8">
        <f ca="1">IFERROR(__xludf.DUMMYFUNCTION("""COMPUTED_VALUE"""),45258.5173269675)</f>
        <v>45258.5173269675</v>
      </c>
      <c r="B226" s="1" t="str">
        <f ca="1">IFERROR(__xludf.DUMMYFUNCTION("""COMPUTED_VALUE"""),"CEC")</f>
        <v>CEC</v>
      </c>
      <c r="C226" s="1" t="str">
        <f ca="1">IFERROR(__xludf.DUMMYFUNCTION("""COMPUTED_VALUE"""),"ef148608274th")</f>
        <v>ef148608274th</v>
      </c>
      <c r="D226" s="1" t="str">
        <f ca="1">IFERROR(__xludf.DUMMYFUNCTION("""COMPUTED_VALUE"""),"จักกรี")</f>
        <v>จักกรี</v>
      </c>
      <c r="E226" s="1" t="str">
        <f ca="1">IFERROR(__xludf.DUMMYFUNCTION("""COMPUTED_VALUE"""),"0847944551")</f>
        <v>0847944551</v>
      </c>
      <c r="F226" s="1" t="str">
        <f ca="1">IFERROR(__xludf.DUMMYFUNCTION("""COMPUTED_VALUE"""),"2077/466  วุขุมวิทย์")</f>
        <v>2077/466  วุขุมวิทย์</v>
      </c>
      <c r="G226" s="1" t="str">
        <f ca="1">IFERROR(__xludf.DUMMYFUNCTION("""COMPUTED_VALUE"""),"ตรวจสอบการนำจ่าย")</f>
        <v>ตรวจสอบการนำจ่าย</v>
      </c>
      <c r="H226" s="1" t="str">
        <f ca="1">IFERROR(__xludf.DUMMYFUNCTION("""COMPUTED_VALUE"""),"ผู้รับไม่ได้รับสิ่งของ")</f>
        <v>ผู้รับไม่ได้รับสิ่งของ</v>
      </c>
      <c r="I226" s="1" t="str">
        <f ca="1">IFERROR(__xludf.DUMMYFUNCTION("""COMPUTED_VALUE"""),"แจ้งผู้ที่เกี่ยวข้องแล้ว")</f>
        <v>แจ้งผู้ที่เกี่ยวข้องแล้ว</v>
      </c>
      <c r="J226" s="1" t="str">
        <f ca="1">IFERROR(__xludf.DUMMYFUNCTION("""COMPUTED_VALUE"""),"DB4")</f>
        <v>DB4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5.75" customHeight="1" x14ac:dyDescent="0.2">
      <c r="A227" s="8">
        <f ca="1">IFERROR(__xludf.DUMMYFUNCTION("""COMPUTED_VALUE"""),45258.6382825462)</f>
        <v>45258.638282546199</v>
      </c>
      <c r="B227" s="1" t="str">
        <f ca="1">IFERROR(__xludf.DUMMYFUNCTION("""COMPUTED_VALUE"""),"CEC")</f>
        <v>CEC</v>
      </c>
      <c r="C227" s="1" t="str">
        <f ca="1">IFERROR(__xludf.DUMMYFUNCTION("""COMPUTED_VALUE"""),"el860443688th")</f>
        <v>el860443688th</v>
      </c>
      <c r="D227" s="1" t="str">
        <f ca="1">IFERROR(__xludf.DUMMYFUNCTION("""COMPUTED_VALUE"""),"เปี่ยมศักดิ์")</f>
        <v>เปี่ยมศักดิ์</v>
      </c>
      <c r="E227" s="1" t="str">
        <f ca="1">IFERROR(__xludf.DUMMYFUNCTION("""COMPUTED_VALUE"""),"0867095145  -0945047145")</f>
        <v>0867095145  -0945047145</v>
      </c>
      <c r="F227" s="1" t="str">
        <f ca="1">IFERROR(__xludf.DUMMYFUNCTION("""COMPUTED_VALUE"""),"26  ลาซาล")</f>
        <v>26  ลาซาล</v>
      </c>
      <c r="G227" s="1" t="str">
        <f ca="1">IFERROR(__xludf.DUMMYFUNCTION("""COMPUTED_VALUE"""),"นำจ่ายใหม่")</f>
        <v>นำจ่ายใหม่</v>
      </c>
      <c r="H227" s="1" t="str">
        <f ca="1">IFERROR(__xludf.DUMMYFUNCTION("""COMPUTED_VALUE"""),"cod  1500")</f>
        <v>cod  1500</v>
      </c>
      <c r="I227" s="1" t="str">
        <f ca="1">IFERROR(__xludf.DUMMYFUNCTION("""COMPUTED_VALUE"""),"แจ้งเจ้าหน้ที่นำจ่ายแล้ว")</f>
        <v>แจ้งเจ้าหน้ที่นำจ่ายแล้ว</v>
      </c>
      <c r="J227" s="1" t="str">
        <f ca="1">IFERROR(__xludf.DUMMYFUNCTION("""COMPUTED_VALUE"""),"DB1")</f>
        <v>DB1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5.75" customHeight="1" x14ac:dyDescent="0.2">
      <c r="A228" s="8">
        <f ca="1">IFERROR(__xludf.DUMMYFUNCTION("""COMPUTED_VALUE"""),45258.6396889351)</f>
        <v>45258.639688935102</v>
      </c>
      <c r="B228" s="1" t="str">
        <f ca="1">IFERROR(__xludf.DUMMYFUNCTION("""COMPUTED_VALUE"""),"CEC")</f>
        <v>CEC</v>
      </c>
      <c r="C228" s="1" t="str">
        <f ca="1">IFERROR(__xludf.DUMMYFUNCTION("""COMPUTED_VALUE"""),"eb516513718th")</f>
        <v>eb516513718th</v>
      </c>
      <c r="D228" s="1" t="str">
        <f ca="1">IFERROR(__xludf.DUMMYFUNCTION("""COMPUTED_VALUE"""),"กนกวรรณ
")</f>
        <v xml:space="preserve">กนกวรรณ
</v>
      </c>
      <c r="E228" s="1" t="str">
        <f ca="1">IFERROR(__xludf.DUMMYFUNCTION("""COMPUTED_VALUE"""),"0921228886")</f>
        <v>0921228886</v>
      </c>
      <c r="F228" s="1" t="str">
        <f ca="1">IFERROR(__xludf.DUMMYFUNCTION("""COMPUTED_VALUE"""),"1553/138 ซิตี้โฮม ")</f>
        <v xml:space="preserve">1553/138 ซิตี้โฮม </v>
      </c>
      <c r="G228" s="1" t="str">
        <f ca="1">IFERROR(__xludf.DUMMYFUNCTION("""COMPUTED_VALUE"""),"นำจ่ายใหม่")</f>
        <v>นำจ่ายใหม่</v>
      </c>
      <c r="H228" s="1" t="str">
        <f ca="1">IFERROR(__xludf.DUMMYFUNCTION("""COMPUTED_VALUE"""),"บ้านปิด")</f>
        <v>บ้านปิด</v>
      </c>
      <c r="I228" s="1" t="str">
        <f ca="1">IFERROR(__xludf.DUMMYFUNCTION("""COMPUTED_VALUE"""),"แจ้งเจ้าหน้าที่นำจ่่ายแล้ว")</f>
        <v>แจ้งเจ้าหน้าที่นำจ่่ายแล้ว</v>
      </c>
      <c r="J228" s="1" t="str">
        <f ca="1">IFERROR(__xludf.DUMMYFUNCTION("""COMPUTED_VALUE"""),"นำจ่ายรถยนต์")</f>
        <v>นำจ่ายรถยนต์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5.75" customHeight="1" x14ac:dyDescent="0.2">
      <c r="A229" s="8">
        <f ca="1">IFERROR(__xludf.DUMMYFUNCTION("""COMPUTED_VALUE"""),45259.5018905092)</f>
        <v>45259.5018905092</v>
      </c>
      <c r="B229" s="1" t="str">
        <f ca="1">IFERROR(__xludf.DUMMYFUNCTION("""COMPUTED_VALUE"""),"CEC")</f>
        <v>CEC</v>
      </c>
      <c r="C229" s="1" t="str">
        <f ca="1">IFERROR(__xludf.DUMMYFUNCTION("""COMPUTED_VALUE"""),"ri921156555th")</f>
        <v>ri921156555th</v>
      </c>
      <c r="D229" s="1" t="str">
        <f ca="1">IFERROR(__xludf.DUMMYFUNCTION("""COMPUTED_VALUE"""),"ชานุพงศ์")</f>
        <v>ชานุพงศ์</v>
      </c>
      <c r="E229" s="1" t="str">
        <f ca="1">IFERROR(__xludf.DUMMYFUNCTION("""COMPUTED_VALUE"""),"0635149352")</f>
        <v>0635149352</v>
      </c>
      <c r="F229" s="1" t="str">
        <f ca="1">IFERROR(__xludf.DUMMYFUNCTION("""COMPUTED_VALUE"""),"200 วชิรธรรมสาธิต 24")</f>
        <v>200 วชิรธรรมสาธิต 24</v>
      </c>
      <c r="G229" s="1" t="str">
        <f ca="1">IFERROR(__xludf.DUMMYFUNCTION("""COMPUTED_VALUE"""),"ตรวจสอบการนำจ่าย")</f>
        <v>ตรวจสอบการนำจ่าย</v>
      </c>
      <c r="H229" s="1" t="str">
        <f ca="1">IFERROR(__xludf.DUMMYFUNCTION("""COMPUTED_VALUE"""),"ผูรับไม่ได้รับสิ่งของ")</f>
        <v>ผูรับไม่ได้รับสิ่งของ</v>
      </c>
      <c r="I229" s="1" t="str">
        <f ca="1">IFERROR(__xludf.DUMMYFUNCTION("""COMPUTED_VALUE"""),"แจ้งเจ้าหน้าที่นำจ่ายแล้ว")</f>
        <v>แจ้งเจ้าหน้าที่นำจ่ายแล้ว</v>
      </c>
      <c r="J229" s="1" t="str">
        <f ca="1">IFERROR(__xludf.DUMMYFUNCTION("""COMPUTED_VALUE"""),"DB2")</f>
        <v>DB2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5.75" customHeight="1" x14ac:dyDescent="0.2">
      <c r="A230" s="8">
        <f ca="1">IFERROR(__xludf.DUMMYFUNCTION("""COMPUTED_VALUE"""),45259.50339375)</f>
        <v>45259.503393749997</v>
      </c>
      <c r="B230" s="1" t="str">
        <f ca="1">IFERROR(__xludf.DUMMYFUNCTION("""COMPUTED_VALUE"""),"CEC")</f>
        <v>CEC</v>
      </c>
      <c r="C230" s="1" t="str">
        <f ca="1">IFERROR(__xludf.DUMMYFUNCTION("""COMPUTED_VALUE"""),"ri897010420th")</f>
        <v>ri897010420th</v>
      </c>
      <c r="D230" s="1" t="str">
        <f ca="1">IFERROR(__xludf.DUMMYFUNCTION("""COMPUTED_VALUE"""),"ศรัญญา")</f>
        <v>ศรัญญา</v>
      </c>
      <c r="E230" s="1" t="str">
        <f ca="1">IFERROR(__xludf.DUMMYFUNCTION("""COMPUTED_VALUE"""),"0846645909")</f>
        <v>0846645909</v>
      </c>
      <c r="F230" s="1" t="str">
        <f ca="1">IFERROR(__xludf.DUMMYFUNCTION("""COMPUTED_VALUE"""),"70/14 ซ68")</f>
        <v>70/14 ซ68</v>
      </c>
      <c r="G230" s="1" t="str">
        <f ca="1">IFERROR(__xludf.DUMMYFUNCTION("""COMPUTED_VALUE"""),"ตรวจสอบการนำจ่าย")</f>
        <v>ตรวจสอบการนำจ่าย</v>
      </c>
      <c r="H230" s="1" t="str">
        <f ca="1">IFERROR(__xludf.DUMMYFUNCTION("""COMPUTED_VALUE"""),"ผู้รับไม่ได้รับสิ่งขิง")</f>
        <v>ผู้รับไม่ได้รับสิ่งขิง</v>
      </c>
      <c r="I230" s="1" t="str">
        <f ca="1">IFERROR(__xludf.DUMMYFUNCTION("""COMPUTED_VALUE"""),"เเจ้งจ้าหน้านำจ่ายแล้ว")</f>
        <v>เเจ้งจ้าหน้านำจ่ายแล้ว</v>
      </c>
      <c r="J230" s="1" t="str">
        <f ca="1">IFERROR(__xludf.DUMMYFUNCTION("""COMPUTED_VALUE"""),"DB2")</f>
        <v>DB2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15.75" customHeight="1" x14ac:dyDescent="0.2">
      <c r="A231" s="8">
        <f ca="1">IFERROR(__xludf.DUMMYFUNCTION("""COMPUTED_VALUE"""),45259.5430918402)</f>
        <v>45259.543091840198</v>
      </c>
      <c r="B231" s="1" t="str">
        <f ca="1">IFERROR(__xludf.DUMMYFUNCTION("""COMPUTED_VALUE"""),"CEC")</f>
        <v>CEC</v>
      </c>
      <c r="C231" s="1" t="str">
        <f ca="1">IFERROR(__xludf.DUMMYFUNCTION("""COMPUTED_VALUE"""),"ri805391089th")</f>
        <v>ri805391089th</v>
      </c>
      <c r="D231" s="1" t="str">
        <f ca="1">IFERROR(__xludf.DUMMYFUNCTION("""COMPUTED_VALUE"""),"พิชามล")</f>
        <v>พิชามล</v>
      </c>
      <c r="E231" s="1" t="str">
        <f ca="1">IFERROR(__xludf.DUMMYFUNCTION("""COMPUTED_VALUE"""),"0966251068")</f>
        <v>0966251068</v>
      </c>
      <c r="F231" s="1" t="str">
        <f ca="1">IFERROR(__xludf.DUMMYFUNCTION("""COMPUTED_VALUE"""),"99 สุขุมวิทย์ 64")</f>
        <v>99 สุขุมวิทย์ 64</v>
      </c>
      <c r="G231" s="1" t="str">
        <f ca="1">IFERROR(__xludf.DUMMYFUNCTION("""COMPUTED_VALUE"""),"ตรวจสอบการนำจ่าย")</f>
        <v>ตรวจสอบการนำจ่าย</v>
      </c>
      <c r="H231" s="1" t="str">
        <f ca="1">IFERROR(__xludf.DUMMYFUNCTION("""COMPUTED_VALUE"""),"ผู้รับไม่ได้รับสิ่งของ")</f>
        <v>ผู้รับไม่ได้รับสิ่งของ</v>
      </c>
      <c r="I231" s="1" t="str">
        <f ca="1">IFERROR(__xludf.DUMMYFUNCTION("""COMPUTED_VALUE"""),"แจ้งเจ้าหน้านำจ่ายแล้ว")</f>
        <v>แจ้งเจ้าหน้านำจ่ายแล้ว</v>
      </c>
      <c r="J231" s="1" t="str">
        <f ca="1">IFERROR(__xludf.DUMMYFUNCTION("""COMPUTED_VALUE"""),"นำจ่ายรถยนต์")</f>
        <v>นำจ่ายรถยนต์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15.75" customHeight="1" x14ac:dyDescent="0.2">
      <c r="A232" s="8">
        <f ca="1">IFERROR(__xludf.DUMMYFUNCTION("""COMPUTED_VALUE"""),45259.5958348032)</f>
        <v>45259.5958348032</v>
      </c>
      <c r="B232" s="1" t="str">
        <f ca="1">IFERROR(__xludf.DUMMYFUNCTION("""COMPUTED_VALUE"""),"CEC")</f>
        <v>CEC</v>
      </c>
      <c r="C232" s="1" t="str">
        <f ca="1">IFERROR(__xludf.DUMMYFUNCTION("""COMPUTED_VALUE"""),"ej803629534th")</f>
        <v>ej803629534th</v>
      </c>
      <c r="D232" s="1" t="str">
        <f ca="1">IFERROR(__xludf.DUMMYFUNCTION("""COMPUTED_VALUE"""),"สุจิตรา ")</f>
        <v xml:space="preserve">สุจิตรา </v>
      </c>
      <c r="E232" s="1" t="str">
        <f ca="1">IFERROR(__xludf.DUMMYFUNCTION("""COMPUTED_VALUE"""),"0826252508")</f>
        <v>0826252508</v>
      </c>
      <c r="F232" s="1" t="str">
        <f ca="1">IFERROR(__xludf.DUMMYFUNCTION("""COMPUTED_VALUE"""),"26ซ.ประวิชและเพื่อน 19")</f>
        <v>26ซ.ประวิชและเพื่อน 19</v>
      </c>
      <c r="G232" s="1" t="str">
        <f ca="1">IFERROR(__xludf.DUMMYFUNCTION("""COMPUTED_VALUE"""),"นำจ่ายใหม่")</f>
        <v>นำจ่ายใหม่</v>
      </c>
      <c r="H232" s="1" t="str">
        <f ca="1">IFERROR(__xludf.DUMMYFUNCTION("""COMPUTED_VALUE"""),"จ่าหน้าไมชัด")</f>
        <v>จ่าหน้าไมชัด</v>
      </c>
      <c r="I232" s="1" t="str">
        <f ca="1">IFERROR(__xludf.DUMMYFUNCTION("""COMPUTED_VALUE"""),"แจ้งเจ้าหน้าที่นำจ่ายแล้ว")</f>
        <v>แจ้งเจ้าหน้าที่นำจ่ายแล้ว</v>
      </c>
      <c r="J232" s="1" t="str">
        <f ca="1">IFERROR(__xludf.DUMMYFUNCTION("""COMPUTED_VALUE"""),"นำจ่ายรถยนต์")</f>
        <v>นำจ่ายรถยนต์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15.75" customHeight="1" x14ac:dyDescent="0.2">
      <c r="A233" s="8">
        <f ca="1">IFERROR(__xludf.DUMMYFUNCTION("""COMPUTED_VALUE"""),45260.4317897569)</f>
        <v>45260.431789756898</v>
      </c>
      <c r="B233" s="1" t="str">
        <f ca="1">IFERROR(__xludf.DUMMYFUNCTION("""COMPUTED_VALUE"""),"CEC")</f>
        <v>CEC</v>
      </c>
      <c r="C233" s="1" t="str">
        <f ca="1">IFERROR(__xludf.DUMMYFUNCTION("""COMPUTED_VALUE"""),"ob278195279th")</f>
        <v>ob278195279th</v>
      </c>
      <c r="D233" s="1" t="str">
        <f ca="1">IFERROR(__xludf.DUMMYFUNCTION("""COMPUTED_VALUE"""),"ปิยะมาศ")</f>
        <v>ปิยะมาศ</v>
      </c>
      <c r="E233" s="1" t="str">
        <f ca="1">IFERROR(__xludf.DUMMYFUNCTION("""COMPUTED_VALUE"""),"0924295656")</f>
        <v>0924295656</v>
      </c>
      <c r="F233" s="1" t="str">
        <f ca="1">IFERROR(__xludf.DUMMYFUNCTION("""COMPUTED_VALUE"""),"5/170 คอนโดวิชเดอะเซ็น")</f>
        <v>5/170 คอนโดวิชเดอะเซ็น</v>
      </c>
      <c r="G233" s="1" t="str">
        <f ca="1">IFERROR(__xludf.DUMMYFUNCTION("""COMPUTED_VALUE"""),"ตรวจสอบการนำจ่าย")</f>
        <v>ตรวจสอบการนำจ่าย</v>
      </c>
      <c r="H233" s="1" t="str">
        <f ca="1">IFERROR(__xludf.DUMMYFUNCTION("""COMPUTED_VALUE"""),"ผู้รับไม่ได้รับสิ่งของ")</f>
        <v>ผู้รับไม่ได้รับสิ่งของ</v>
      </c>
      <c r="I233" s="1" t="str">
        <f ca="1">IFERROR(__xludf.DUMMYFUNCTION("""COMPUTED_VALUE"""),"แจ้งเจ้าหน้าที่นำจ่ายแล้ว")</f>
        <v>แจ้งเจ้าหน้าที่นำจ่ายแล้ว</v>
      </c>
      <c r="J233" s="1" t="str">
        <f ca="1">IFERROR(__xludf.DUMMYFUNCTION("""COMPUTED_VALUE"""),"DB4")</f>
        <v>DB4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15.75" customHeight="1" x14ac:dyDescent="0.2">
      <c r="A234" s="8">
        <f ca="1">IFERROR(__xludf.DUMMYFUNCTION("""COMPUTED_VALUE"""),45260.4847206018)</f>
        <v>45260.484720601802</v>
      </c>
      <c r="B234" s="1" t="str">
        <f ca="1">IFERROR(__xludf.DUMMYFUNCTION("""COMPUTED_VALUE"""),"CEC")</f>
        <v>CEC</v>
      </c>
      <c r="C234" s="1" t="str">
        <f ca="1">IFERROR(__xludf.DUMMYFUNCTION("""COMPUTED_VALUE"""),"ri890169004th-ri871490746th-ri890176583th-ri890180146th")</f>
        <v>ri890169004th-ri871490746th-ri890176583th-ri890180146th</v>
      </c>
      <c r="D234" s="1" t="str">
        <f ca="1">IFERROR(__xludf.DUMMYFUNCTION("""COMPUTED_VALUE"""),"ประกายกาญจน์")</f>
        <v>ประกายกาญจน์</v>
      </c>
      <c r="E234" s="1" t="str">
        <f ca="1">IFERROR(__xludf.DUMMYFUNCTION("""COMPUTED_VALUE"""),"0982736182")</f>
        <v>0982736182</v>
      </c>
      <c r="F234" s="1" t="str">
        <f ca="1">IFERROR(__xludf.DUMMYFUNCTION("""COMPUTED_VALUE"""),"26/1 ซ.ปุณวิธี 11")</f>
        <v>26/1 ซ.ปุณวิธี 11</v>
      </c>
      <c r="G234" s="1" t="str">
        <f ca="1">IFERROR(__xludf.DUMMYFUNCTION("""COMPUTED_VALUE"""),"นำจ่ายใหม่")</f>
        <v>นำจ่ายใหม่</v>
      </c>
      <c r="H234" s="1" t="str">
        <f ca="1">IFERROR(__xludf.DUMMYFUNCTION("""COMPUTED_VALUE"""),"บ้านปิด")</f>
        <v>บ้านปิด</v>
      </c>
      <c r="I234" s="1" t="str">
        <f ca="1">IFERROR(__xludf.DUMMYFUNCTION("""COMPUTED_VALUE"""),"แจ้งเจ้าหน้าที่นำจ่ายแล้ว")</f>
        <v>แจ้งเจ้าหน้าที่นำจ่ายแล้ว</v>
      </c>
      <c r="J234" s="1" t="str">
        <f ca="1">IFERROR(__xludf.DUMMYFUNCTION("""COMPUTED_VALUE"""),"DB3")</f>
        <v>DB3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15.75" customHeight="1" x14ac:dyDescent="0.2">
      <c r="A235" s="8">
        <f ca="1">IFERROR(__xludf.DUMMYFUNCTION("""COMPUTED_VALUE"""),45260.6647448379)</f>
        <v>45260.664744837901</v>
      </c>
      <c r="B235" s="1" t="str">
        <f ca="1">IFERROR(__xludf.DUMMYFUNCTION("""COMPUTED_VALUE"""),"CEC")</f>
        <v>CEC</v>
      </c>
      <c r="C235" s="1" t="str">
        <f ca="1">IFERROR(__xludf.DUMMYFUNCTION("""COMPUTED_VALUE"""),"ed995160035th")</f>
        <v>ed995160035th</v>
      </c>
      <c r="D235" s="1" t="str">
        <f ca="1">IFERROR(__xludf.DUMMYFUNCTION("""COMPUTED_VALUE"""),"chie")</f>
        <v>chie</v>
      </c>
      <c r="E235" s="1" t="str">
        <f ca="1">IFERROR(__xludf.DUMMYFUNCTION("""COMPUTED_VALUE"""),"0639503565")</f>
        <v>0639503565</v>
      </c>
      <c r="F235" s="1" t="str">
        <f ca="1">IFERROR(__xludf.DUMMYFUNCTION("""COMPUTED_VALUE"""),"983 5.[k'ok9ik")</f>
        <v>983 5.[k'ok9ik</v>
      </c>
      <c r="G235" s="1" t="str">
        <f ca="1">IFERROR(__xludf.DUMMYFUNCTION("""COMPUTED_VALUE"""),"นำจ่ายใหม่")</f>
        <v>นำจ่ายใหม่</v>
      </c>
      <c r="H235" s="1" t="str">
        <f ca="1">IFERROR(__xludf.DUMMYFUNCTION("""COMPUTED_VALUE"""),"ติดต่อผู้รับไม่ได้")</f>
        <v>ติดต่อผู้รับไม่ได้</v>
      </c>
      <c r="I235" s="1" t="str">
        <f ca="1">IFERROR(__xludf.DUMMYFUNCTION("""COMPUTED_VALUE"""),"แจ้งเจ้าหน้านำจ่ายใหม่แล้ว")</f>
        <v>แจ้งเจ้าหน้านำจ่ายใหม่แล้ว</v>
      </c>
      <c r="J235" s="1" t="str">
        <f ca="1">IFERROR(__xludf.DUMMYFUNCTION("""COMPUTED_VALUE"""),"DB2")</f>
        <v>DB2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15.75" customHeight="1" x14ac:dyDescent="0.2">
      <c r="A236" s="8">
        <f ca="1">IFERROR(__xludf.DUMMYFUNCTION("""COMPUTED_VALUE"""),45261.5904665393)</f>
        <v>45261.590466539303</v>
      </c>
      <c r="B236" s="1" t="str">
        <f ca="1">IFERROR(__xludf.DUMMYFUNCTION("""COMPUTED_VALUE"""),"CEC")</f>
        <v>CEC</v>
      </c>
      <c r="C236" s="1" t="str">
        <f ca="1">IFERROR(__xludf.DUMMYFUNCTION("""COMPUTED_VALUE"""),"ri894160252th")</f>
        <v>ri894160252th</v>
      </c>
      <c r="D236" s="1" t="str">
        <f ca="1">IFERROR(__xludf.DUMMYFUNCTION("""COMPUTED_VALUE"""),"ธนเดช")</f>
        <v>ธนเดช</v>
      </c>
      <c r="E236" s="1" t="str">
        <f ca="1">IFERROR(__xludf.DUMMYFUNCTION("""COMPUTED_VALUE"""),"0982838545")</f>
        <v>0982838545</v>
      </c>
      <c r="F236" s="1" t="str">
        <f ca="1">IFERROR(__xludf.DUMMYFUNCTION("""COMPUTED_VALUE"""),"111 ซ66/1")</f>
        <v>111 ซ66/1</v>
      </c>
      <c r="G236" s="1" t="str">
        <f ca="1">IFERROR(__xludf.DUMMYFUNCTION("""COMPUTED_VALUE"""),"นำจ่ายใหม่")</f>
        <v>นำจ่ายใหม่</v>
      </c>
      <c r="H236" s="1" t="str">
        <f ca="1">IFERROR(__xludf.DUMMYFUNCTION("""COMPUTED_VALUE"""),"ปิดออกใบแจ้ง")</f>
        <v>ปิดออกใบแจ้ง</v>
      </c>
      <c r="I236" s="1" t="str">
        <f ca="1">IFERROR(__xludf.DUMMYFUNCTION("""COMPUTED_VALUE"""),"แจ้งเจ้าหน้านำจ่ายแล้ว")</f>
        <v>แจ้งเจ้าหน้านำจ่ายแล้ว</v>
      </c>
      <c r="J236" s="1" t="str">
        <f ca="1">IFERROR(__xludf.DUMMYFUNCTION("""COMPUTED_VALUE"""),"DB2")</f>
        <v>DB2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15.75" customHeight="1" x14ac:dyDescent="0.2">
      <c r="A237" s="8">
        <f ca="1">IFERROR(__xludf.DUMMYFUNCTION("""COMPUTED_VALUE"""),45262.5920145601)</f>
        <v>45262.592014560098</v>
      </c>
      <c r="B237" s="1" t="str">
        <f ca="1">IFERROR(__xludf.DUMMYFUNCTION("""COMPUTED_VALUE"""),"CEC")</f>
        <v>CEC</v>
      </c>
      <c r="C237" s="1" t="str">
        <f ca="1">IFERROR(__xludf.DUMMYFUNCTION("""COMPUTED_VALUE"""),"rj456908781th")</f>
        <v>rj456908781th</v>
      </c>
      <c r="D237" s="1" t="str">
        <f ca="1">IFERROR(__xludf.DUMMYFUNCTION("""COMPUTED_VALUE"""),"ปัณฐิตา
")</f>
        <v xml:space="preserve">ปัณฐิตา
</v>
      </c>
      <c r="E237" s="1" t="str">
        <f ca="1">IFERROR(__xludf.DUMMYFUNCTION("""COMPUTED_VALUE"""),"0626965622")</f>
        <v>0626965622</v>
      </c>
      <c r="F237" s="1" t="str">
        <f ca="1">IFERROR(__xludf.DUMMYFUNCTION("""COMPUTED_VALUE"""),"46/187 ชุมชนสวนอ้อย")</f>
        <v>46/187 ชุมชนสวนอ้อย</v>
      </c>
      <c r="G237" s="1" t="str">
        <f ca="1">IFERROR(__xludf.DUMMYFUNCTION("""COMPUTED_VALUE"""),"นำจ่ายใหม่")</f>
        <v>นำจ่ายใหม่</v>
      </c>
      <c r="H237" s="1" t="str">
        <f ca="1">IFERROR(__xludf.DUMMYFUNCTION("""COMPUTED_VALUE"""),"ปิดออกใบแจ้ง")</f>
        <v>ปิดออกใบแจ้ง</v>
      </c>
      <c r="I237" s="1" t="str">
        <f ca="1">IFERROR(__xludf.DUMMYFUNCTION("""COMPUTED_VALUE"""),"แจ้งเจ้าหน้านำจ่ายแล้ว")</f>
        <v>แจ้งเจ้าหน้านำจ่ายแล้ว</v>
      </c>
      <c r="J237" s="1" t="str">
        <f ca="1">IFERROR(__xludf.DUMMYFUNCTION("""COMPUTED_VALUE"""),"DB4")</f>
        <v>DB4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15.75" customHeight="1" x14ac:dyDescent="0.2">
      <c r="A238" s="8">
        <f ca="1">IFERROR(__xludf.DUMMYFUNCTION("""COMPUTED_VALUE"""),45262.5935388657)</f>
        <v>45262.593538865702</v>
      </c>
      <c r="B238" s="1" t="str">
        <f ca="1">IFERROR(__xludf.DUMMYFUNCTION("""COMPUTED_VALUE"""),"CEC")</f>
        <v>CEC</v>
      </c>
      <c r="C238" s="1" t="str">
        <f ca="1">IFERROR(__xludf.DUMMYFUNCTION("""COMPUTED_VALUE"""),"ำด217351315ะ้")</f>
        <v>ำด217351315ะ้</v>
      </c>
      <c r="D238" s="1" t="str">
        <f ca="1">IFERROR(__xludf.DUMMYFUNCTION("""COMPUTED_VALUE"""),"ชลธิชา")</f>
        <v>ชลธิชา</v>
      </c>
      <c r="E238" s="1" t="str">
        <f ca="1">IFERROR(__xludf.DUMMYFUNCTION("""COMPUTED_VALUE"""),"0944466140")</f>
        <v>0944466140</v>
      </c>
      <c r="F238" s="1" t="str">
        <f ca="1">IFERROR(__xludf.DUMMYFUNCTION("""COMPUTED_VALUE"""),"1006/34อุดมสุข 56")</f>
        <v>1006/34อุดมสุข 56</v>
      </c>
      <c r="G238" s="1" t="str">
        <f ca="1">IFERROR(__xludf.DUMMYFUNCTION("""COMPUTED_VALUE"""),"ตรวจสอบการนำจ่าย")</f>
        <v>ตรวจสอบการนำจ่าย</v>
      </c>
      <c r="H238" s="1" t="str">
        <f ca="1">IFERROR(__xludf.DUMMYFUNCTION("""COMPUTED_VALUE"""),"ไม่ได้รับสิ่งของ")</f>
        <v>ไม่ได้รับสิ่งของ</v>
      </c>
      <c r="I238" s="1" t="str">
        <f ca="1">IFERROR(__xludf.DUMMYFUNCTION("""COMPUTED_VALUE"""),"แจ้งเจ้าหน้าที่นำจ่ายแล้ว")</f>
        <v>แจ้งเจ้าหน้าที่นำจ่ายแล้ว</v>
      </c>
      <c r="J238" s="1" t="str">
        <f ca="1">IFERROR(__xludf.DUMMYFUNCTION("""COMPUTED_VALUE"""),"DB2")</f>
        <v>DB2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15.75" customHeight="1" x14ac:dyDescent="0.2">
      <c r="A239" s="8">
        <f ca="1">IFERROR(__xludf.DUMMYFUNCTION("""COMPUTED_VALUE"""),45262.6238549305)</f>
        <v>45262.623854930498</v>
      </c>
      <c r="B239" s="1" t="str">
        <f ca="1">IFERROR(__xludf.DUMMYFUNCTION("""COMPUTED_VALUE"""),"CEC")</f>
        <v>CEC</v>
      </c>
      <c r="C239" s="1" t="str">
        <f ca="1">IFERROR(__xludf.DUMMYFUNCTION("""COMPUTED_VALUE"""),"ed944951582th")</f>
        <v>ed944951582th</v>
      </c>
      <c r="D239" s="1" t="str">
        <f ca="1">IFERROR(__xludf.DUMMYFUNCTION("""COMPUTED_VALUE"""),"ดิน")</f>
        <v>ดิน</v>
      </c>
      <c r="E239" s="1">
        <f ca="1">IFERROR(__xludf.DUMMYFUNCTION("""COMPUTED_VALUE"""),628475986)</f>
        <v>628475986</v>
      </c>
      <c r="F239" s="1" t="str">
        <f ca="1">IFERROR(__xludf.DUMMYFUNCTION("""COMPUTED_VALUE"""),"11 ซ.จ่าโสด")</f>
        <v>11 ซ.จ่าโสด</v>
      </c>
      <c r="G239" s="1" t="str">
        <f ca="1">IFERROR(__xludf.DUMMYFUNCTION("""COMPUTED_VALUE"""),"นำจ่ายใหม่")</f>
        <v>นำจ่ายใหม่</v>
      </c>
      <c r="H239" s="1" t="str">
        <f ca="1">IFERROR(__xludf.DUMMYFUNCTION("""COMPUTED_VALUE"""),"ออกใบแจ้ง ")</f>
        <v xml:space="preserve">ออกใบแจ้ง </v>
      </c>
      <c r="I239" s="1" t="str">
        <f ca="1">IFERROR(__xludf.DUMMYFUNCTION("""COMPUTED_VALUE"""),"แจ้งเจ้าหน้าที่นำจ่ายแล้ว")</f>
        <v>แจ้งเจ้าหน้าที่นำจ่ายแล้ว</v>
      </c>
      <c r="J239" s="1" t="str">
        <f ca="1">IFERROR(__xludf.DUMMYFUNCTION("""COMPUTED_VALUE"""),"DB1")</f>
        <v>DB1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ht="15.75" customHeight="1" x14ac:dyDescent="0.2">
      <c r="A240" s="8">
        <f ca="1">IFERROR(__xludf.DUMMYFUNCTION("""COMPUTED_VALUE"""),45264.4723172569)</f>
        <v>45264.472317256899</v>
      </c>
      <c r="B240" s="1" t="str">
        <f ca="1">IFERROR(__xludf.DUMMYFUNCTION("""COMPUTED_VALUE"""),"CEC")</f>
        <v>CEC</v>
      </c>
      <c r="C240" s="1" t="str">
        <f ca="1">IFERROR(__xludf.DUMMYFUNCTION("""COMPUTED_VALUE"""),"en505660318th")</f>
        <v>en505660318th</v>
      </c>
      <c r="D240" s="1">
        <f ca="1">IFERROR(__xludf.DUMMYFUNCTION("""COMPUTED_VALUE"""),1863)</f>
        <v>1863</v>
      </c>
      <c r="E240" s="1" t="str">
        <f ca="1">IFERROR(__xludf.DUMMYFUNCTION("""COMPUTED_VALUE"""),"0601923118")</f>
        <v>0601923118</v>
      </c>
      <c r="F240" s="1" t="str">
        <f ca="1">IFERROR(__xludf.DUMMYFUNCTION("""COMPUTED_VALUE"""),"1863 สุขุมวิทย์ 66/1")</f>
        <v>1863 สุขุมวิทย์ 66/1</v>
      </c>
      <c r="G240" s="1" t="str">
        <f ca="1">IFERROR(__xludf.DUMMYFUNCTION("""COMPUTED_VALUE"""),"ตรวจสอบการนำจ่าย")</f>
        <v>ตรวจสอบการนำจ่าย</v>
      </c>
      <c r="H240" s="1" t="str">
        <f ca="1">IFERROR(__xludf.DUMMYFUNCTION("""COMPUTED_VALUE"""),"ผู้รับไม่ได้รับสิ่งของ")</f>
        <v>ผู้รับไม่ได้รับสิ่งของ</v>
      </c>
      <c r="I240" s="1" t="str">
        <f ca="1">IFERROR(__xludf.DUMMYFUNCTION("""COMPUTED_VALUE"""),"แจ้งผู้รับแล้ว")</f>
        <v>แจ้งผู้รับแล้ว</v>
      </c>
      <c r="J240" s="1" t="str">
        <f ca="1">IFERROR(__xludf.DUMMYFUNCTION("""COMPUTED_VALUE"""),"DB4")</f>
        <v>DB4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ht="15.75" customHeight="1" x14ac:dyDescent="0.2">
      <c r="A241" s="8">
        <f ca="1">IFERROR(__xludf.DUMMYFUNCTION("""COMPUTED_VALUE"""),45264.5790530092)</f>
        <v>45264.579053009198</v>
      </c>
      <c r="B241" s="1" t="str">
        <f ca="1">IFERROR(__xludf.DUMMYFUNCTION("""COMPUTED_VALUE"""),"CEC")</f>
        <v>CEC</v>
      </c>
      <c r="C241" s="1" t="str">
        <f ca="1">IFERROR(__xludf.DUMMYFUNCTION("""COMPUTED_VALUE"""),"eb576599628th")</f>
        <v>eb576599628th</v>
      </c>
      <c r="D241" s="1" t="str">
        <f ca="1">IFERROR(__xludf.DUMMYFUNCTION("""COMPUTED_VALUE"""),"ปวีณา")</f>
        <v>ปวีณา</v>
      </c>
      <c r="E241" s="1" t="str">
        <f ca="1">IFERROR(__xludf.DUMMYFUNCTION("""COMPUTED_VALUE"""),"0957507541")</f>
        <v>0957507541</v>
      </c>
      <c r="F241" s="1" t="str">
        <f ca="1">IFERROR(__xludf.DUMMYFUNCTION("""COMPUTED_VALUE"""),"16/35 ซสุขุมวิทย์97/1")</f>
        <v>16/35 ซสุขุมวิทย์97/1</v>
      </c>
      <c r="G241" s="1" t="str">
        <f ca="1">IFERROR(__xludf.DUMMYFUNCTION("""COMPUTED_VALUE"""),"ตรวจสอบการนำจ่าย")</f>
        <v>ตรวจสอบการนำจ่าย</v>
      </c>
      <c r="H241" s="1" t="str">
        <f ca="1">IFERROR(__xludf.DUMMYFUNCTION("""COMPUTED_VALUE"""),"ผู้รับไม่ได้รับสิ่งของ")</f>
        <v>ผู้รับไม่ได้รับสิ่งของ</v>
      </c>
      <c r="I241" s="1" t="str">
        <f ca="1">IFERROR(__xludf.DUMMYFUNCTION("""COMPUTED_VALUE"""),"แจ้งเจ้าหน้าที่นำจ่ายแล้ว")</f>
        <v>แจ้งเจ้าหน้าที่นำจ่ายแล้ว</v>
      </c>
      <c r="J241" s="1" t="str">
        <f ca="1">IFERROR(__xludf.DUMMYFUNCTION("""COMPUTED_VALUE"""),"DB3")</f>
        <v>DB3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ht="15.75" customHeight="1" x14ac:dyDescent="0.2">
      <c r="A242" s="8">
        <f ca="1">IFERROR(__xludf.DUMMYFUNCTION("""COMPUTED_VALUE"""),45264.5804555324)</f>
        <v>45264.580455532399</v>
      </c>
      <c r="B242" s="1" t="str">
        <f ca="1">IFERROR(__xludf.DUMMYFUNCTION("""COMPUTED_VALUE"""),"CEC")</f>
        <v>CEC</v>
      </c>
      <c r="C242" s="1" t="str">
        <f ca="1">IFERROR(__xludf.DUMMYFUNCTION("""COMPUTED_VALUE"""),"ed082730352th")</f>
        <v>ed082730352th</v>
      </c>
      <c r="D242" s="1" t="str">
        <f ca="1">IFERROR(__xludf.DUMMYFUNCTION("""COMPUTED_VALUE"""),"สุวรรณา")</f>
        <v>สุวรรณา</v>
      </c>
      <c r="E242" s="1" t="str">
        <f ca="1">IFERROR(__xludf.DUMMYFUNCTION("""COMPUTED_VALUE"""),"0813717636")</f>
        <v>0813717636</v>
      </c>
      <c r="F242" s="1" t="str">
        <f ca="1">IFERROR(__xludf.DUMMYFUNCTION("""COMPUTED_VALUE"""),"32  ซ สุขุมวิทย์64")</f>
        <v>32  ซ สุขุมวิทย์64</v>
      </c>
      <c r="G242" s="1" t="str">
        <f ca="1">IFERROR(__xludf.DUMMYFUNCTION("""COMPUTED_VALUE"""),"นำจ่ายใหม่")</f>
        <v>นำจ่ายใหม่</v>
      </c>
      <c r="H242" s="1" t="str">
        <f ca="1">IFERROR(__xludf.DUMMYFUNCTION("""COMPUTED_VALUE"""),"จ่าหน้าไม่ชัดเจน")</f>
        <v>จ่าหน้าไม่ชัดเจน</v>
      </c>
      <c r="I242" s="1" t="str">
        <f ca="1">IFERROR(__xludf.DUMMYFUNCTION("""COMPUTED_VALUE"""),"แจ้งเจ้าหน้าที่นำจ่ายแล้ว")</f>
        <v>แจ้งเจ้าหน้าที่นำจ่ายแล้ว</v>
      </c>
      <c r="J242" s="1" t="str">
        <f ca="1">IFERROR(__xludf.DUMMYFUNCTION("""COMPUTED_VALUE"""),"DB4")</f>
        <v>DB4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ht="15.75" customHeight="1" x14ac:dyDescent="0.2">
      <c r="A243" s="8">
        <f ca="1">IFERROR(__xludf.DUMMYFUNCTION("""COMPUTED_VALUE"""),45265.4384171064)</f>
        <v>45265.438417106401</v>
      </c>
      <c r="B243" s="1" t="str">
        <f ca="1">IFERROR(__xludf.DUMMYFUNCTION("""COMPUTED_VALUE"""),"CEC")</f>
        <v>CEC</v>
      </c>
      <c r="C243" s="1" t="str">
        <f ca="1">IFERROR(__xludf.DUMMYFUNCTION("""COMPUTED_VALUE"""),"eb513399863th")</f>
        <v>eb513399863th</v>
      </c>
      <c r="D243" s="1" t="str">
        <f ca="1">IFERROR(__xludf.DUMMYFUNCTION("""COMPUTED_VALUE"""),"ยุวดี")</f>
        <v>ยุวดี</v>
      </c>
      <c r="E243" s="1" t="str">
        <f ca="1">IFERROR(__xludf.DUMMYFUNCTION("""COMPUTED_VALUE"""),"090-6994124")</f>
        <v>090-6994124</v>
      </c>
      <c r="F243" s="1" t="str">
        <f ca="1">IFERROR(__xludf.DUMMYFUNCTION("""COMPUTED_VALUE"""),"คอนโดเดอะนิ๙โมโน ซ.สุขุมวิท50")</f>
        <v>คอนโดเดอะนิ๙โมโน ซ.สุขุมวิท50</v>
      </c>
      <c r="G243" s="1" t="str">
        <f ca="1">IFERROR(__xludf.DUMMYFUNCTION("""COMPUTED_VALUE"""),"ตรวจสอบการนำจ่าย")</f>
        <v>ตรวจสอบการนำจ่าย</v>
      </c>
      <c r="H243" s="1"/>
      <c r="I243" s="1"/>
      <c r="J243" s="1" t="str">
        <f ca="1">IFERROR(__xludf.DUMMYFUNCTION("""COMPUTED_VALUE"""),"DB3")</f>
        <v>DB3</v>
      </c>
      <c r="K243" s="1" t="str">
        <f ca="1">IFERROR(__xludf.DUMMYFUNCTION("""COMPUTED_VALUE"""),"ema10260evd1001")</f>
        <v>ema10260evd1001</v>
      </c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ht="15.75" customHeight="1" x14ac:dyDescent="0.2">
      <c r="A244" s="8">
        <f ca="1">IFERROR(__xludf.DUMMYFUNCTION("""COMPUTED_VALUE"""),45265.4569681365)</f>
        <v>45265.456968136503</v>
      </c>
      <c r="B244" s="1" t="str">
        <f ca="1">IFERROR(__xludf.DUMMYFUNCTION("""COMPUTED_VALUE"""),"CEC")</f>
        <v>CEC</v>
      </c>
      <c r="C244" s="1" t="str">
        <f ca="1">IFERROR(__xludf.DUMMYFUNCTION("""COMPUTED_VALUE"""),"em480395393th")</f>
        <v>em480395393th</v>
      </c>
      <c r="D244" s="1" t="str">
        <f ca="1">IFERROR(__xludf.DUMMYFUNCTION("""COMPUTED_VALUE"""),"มณี")</f>
        <v>มณี</v>
      </c>
      <c r="E244" s="1" t="str">
        <f ca="1">IFERROR(__xludf.DUMMYFUNCTION("""COMPUTED_VALUE"""),"064-8961466")</f>
        <v>064-8961466</v>
      </c>
      <c r="F244" s="1" t="str">
        <f ca="1">IFERROR(__xludf.DUMMYFUNCTION("""COMPUTED_VALUE"""),"679/18 the roof garden soi.50")</f>
        <v>679/18 the roof garden soi.50</v>
      </c>
      <c r="G244" s="1" t="str">
        <f ca="1">IFERROR(__xludf.DUMMYFUNCTION("""COMPUTED_VALUE"""),"นำจ่ายใหม่")</f>
        <v>นำจ่ายใหม่</v>
      </c>
      <c r="H244" s="1" t="str">
        <f ca="1">IFERROR(__xludf.DUMMYFUNCTION("""COMPUTED_VALUE"""),"COD.,6,700 บาท")</f>
        <v>COD.,6,700 บาท</v>
      </c>
      <c r="I244" s="1"/>
      <c r="J244" s="1" t="str">
        <f ca="1">IFERROR(__xludf.DUMMYFUNCTION("""COMPUTED_VALUE"""),"DB4")</f>
        <v>DB4</v>
      </c>
      <c r="K244" s="1" t="str">
        <f ca="1">IFERROR(__xludf.DUMMYFUNCTION("""COMPUTED_VALUE"""),"ema10260evd4017")</f>
        <v>ema10260evd4017</v>
      </c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ht="15.75" customHeight="1" x14ac:dyDescent="0.2">
      <c r="A245" s="8">
        <f ca="1">IFERROR(__xludf.DUMMYFUNCTION("""COMPUTED_VALUE"""),45265.4583078703)</f>
        <v>45265.4583078703</v>
      </c>
      <c r="B245" s="1" t="str">
        <f ca="1">IFERROR(__xludf.DUMMYFUNCTION("""COMPUTED_VALUE"""),"CEC")</f>
        <v>CEC</v>
      </c>
      <c r="C245" s="1" t="str">
        <f ca="1">IFERROR(__xludf.DUMMYFUNCTION("""COMPUTED_VALUE"""),"ey198062999th")</f>
        <v>ey198062999th</v>
      </c>
      <c r="D245" s="1" t="str">
        <f ca="1">IFERROR(__xludf.DUMMYFUNCTION("""COMPUTED_VALUE"""),"ชนม์สิตา")</f>
        <v>ชนม์สิตา</v>
      </c>
      <c r="E245" s="1" t="str">
        <f ca="1">IFERROR(__xludf.DUMMYFUNCTION("""COMPUTED_VALUE"""),"083-4639517")</f>
        <v>083-4639517</v>
      </c>
      <c r="F245" s="1" t="str">
        <f ca="1">IFERROR(__xludf.DUMMYFUNCTION("""COMPUTED_VALUE"""),"33/1 มาริษาอพาร์ทเมนท์ ซ.ปุณณ11")</f>
        <v>33/1 มาริษาอพาร์ทเมนท์ ซ.ปุณณ11</v>
      </c>
      <c r="G245" s="1" t="str">
        <f ca="1">IFERROR(__xludf.DUMMYFUNCTION("""COMPUTED_VALUE"""),"ตรวจสอบการนำจ่าย")</f>
        <v>ตรวจสอบการนำจ่าย</v>
      </c>
      <c r="H245" s="1" t="str">
        <f ca="1">IFERROR(__xludf.DUMMYFUNCTION("""COMPUTED_VALUE"""),"-")</f>
        <v>-</v>
      </c>
      <c r="I245" s="1" t="str">
        <f ca="1">IFERROR(__xludf.DUMMYFUNCTION("""COMPUTED_VALUE"""),"-")</f>
        <v>-</v>
      </c>
      <c r="J245" s="1" t="str">
        <f ca="1">IFERROR(__xludf.DUMMYFUNCTION("""COMPUTED_VALUE"""),"DB3")</f>
        <v>DB3</v>
      </c>
      <c r="K245" s="1" t="str">
        <f ca="1">IFERROR(__xludf.DUMMYFUNCTION("""COMPUTED_VALUE"""),"ems10260evd3041")</f>
        <v>ems10260evd3041</v>
      </c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ht="15.75" customHeight="1" x14ac:dyDescent="0.2">
      <c r="A246" s="8">
        <f ca="1">IFERROR(__xludf.DUMMYFUNCTION("""COMPUTED_VALUE"""),45265.4598975463)</f>
        <v>45265.459897546301</v>
      </c>
      <c r="B246" s="1" t="str">
        <f ca="1">IFERROR(__xludf.DUMMYFUNCTION("""COMPUTED_VALUE"""),"CEC")</f>
        <v>CEC</v>
      </c>
      <c r="C246" s="1" t="str">
        <f ca="1">IFERROR(__xludf.DUMMYFUNCTION("""COMPUTED_VALUE"""),"ef210746248th")</f>
        <v>ef210746248th</v>
      </c>
      <c r="D246" s="1" t="str">
        <f ca="1">IFERROR(__xludf.DUMMYFUNCTION("""COMPUTED_VALUE"""),"ชนม์สิตา")</f>
        <v>ชนม์สิตา</v>
      </c>
      <c r="E246" s="1" t="str">
        <f ca="1">IFERROR(__xludf.DUMMYFUNCTION("""COMPUTED_VALUE"""),"083-4639517")</f>
        <v>083-4639517</v>
      </c>
      <c r="F246" s="1" t="str">
        <f ca="1">IFERROR(__xludf.DUMMYFUNCTION("""COMPUTED_VALUE"""),"19 ซอย.ปุณณวิถี 11 สุขุมวิท 101")</f>
        <v>19 ซอย.ปุณณวิถี 11 สุขุมวิท 101</v>
      </c>
      <c r="G246" s="1" t="str">
        <f ca="1">IFERROR(__xludf.DUMMYFUNCTION("""COMPUTED_VALUE"""),"ตรวจสอบการนำจ่าย")</f>
        <v>ตรวจสอบการนำจ่าย</v>
      </c>
      <c r="H246" s="1" t="str">
        <f ca="1">IFERROR(__xludf.DUMMYFUNCTION("""COMPUTED_VALUE"""),"-")</f>
        <v>-</v>
      </c>
      <c r="I246" s="1" t="str">
        <f ca="1">IFERROR(__xludf.DUMMYFUNCTION("""COMPUTED_VALUE"""),"-")</f>
        <v>-</v>
      </c>
      <c r="J246" s="1" t="str">
        <f ca="1">IFERROR(__xludf.DUMMYFUNCTION("""COMPUTED_VALUE"""),"DB3")</f>
        <v>DB3</v>
      </c>
      <c r="K246" s="1" t="str">
        <f ca="1">IFERROR(__xludf.DUMMYFUNCTION("""COMPUTED_VALUE"""),"ems10260evd3041")</f>
        <v>ems10260evd3041</v>
      </c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ht="15.75" customHeight="1" x14ac:dyDescent="0.2">
      <c r="A247" s="8">
        <f ca="1">IFERROR(__xludf.DUMMYFUNCTION("""COMPUTED_VALUE"""),45265.4610076388)</f>
        <v>45265.461007638798</v>
      </c>
      <c r="B247" s="1" t="str">
        <f ca="1">IFERROR(__xludf.DUMMYFUNCTION("""COMPUTED_VALUE"""),"CEC")</f>
        <v>CEC</v>
      </c>
      <c r="C247" s="1" t="str">
        <f ca="1">IFERROR(__xludf.DUMMYFUNCTION("""COMPUTED_VALUE"""),"ef148591123th")</f>
        <v>ef148591123th</v>
      </c>
      <c r="D247" s="1" t="str">
        <f ca="1">IFERROR(__xludf.DUMMYFUNCTION("""COMPUTED_VALUE"""),"พีรวิทย์")</f>
        <v>พีรวิทย์</v>
      </c>
      <c r="E247" s="1" t="str">
        <f ca="1">IFERROR(__xludf.DUMMYFUNCTION("""COMPUTED_VALUE"""),"098-7196259")</f>
        <v>098-7196259</v>
      </c>
      <c r="F247" s="1" t="str">
        <f ca="1">IFERROR(__xludf.DUMMYFUNCTION("""COMPUTED_VALUE"""),"42 ซ.อุดมสุข 51 ตึกแถว ซ.103")</f>
        <v>42 ซ.อุดมสุข 51 ตึกแถว ซ.103</v>
      </c>
      <c r="G247" s="1" t="str">
        <f ca="1">IFERROR(__xludf.DUMMYFUNCTION("""COMPUTED_VALUE"""),"นำจ่ายใหม่")</f>
        <v>นำจ่ายใหม่</v>
      </c>
      <c r="H247" s="1" t="str">
        <f ca="1">IFERROR(__xludf.DUMMYFUNCTION("""COMPUTED_VALUE"""),"-")</f>
        <v>-</v>
      </c>
      <c r="I247" s="1" t="str">
        <f ca="1">IFERROR(__xludf.DUMMYFUNCTION("""COMPUTED_VALUE"""),"-")</f>
        <v>-</v>
      </c>
      <c r="J247" s="1" t="str">
        <f ca="1">IFERROR(__xludf.DUMMYFUNCTION("""COMPUTED_VALUE"""),"DB3")</f>
        <v>DB3</v>
      </c>
      <c r="K247" s="1" t="str">
        <f ca="1">IFERROR(__xludf.DUMMYFUNCTION("""COMPUTED_VALUE"""),"ems10260evd3014")</f>
        <v>ems10260evd3014</v>
      </c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ht="15.75" customHeight="1" x14ac:dyDescent="0.2">
      <c r="A248" s="8">
        <f ca="1">IFERROR(__xludf.DUMMYFUNCTION("""COMPUTED_VALUE"""),45265.462290706)</f>
        <v>45265.462290705997</v>
      </c>
      <c r="B248" s="1" t="str">
        <f ca="1">IFERROR(__xludf.DUMMYFUNCTION("""COMPUTED_VALUE"""),"CEC")</f>
        <v>CEC</v>
      </c>
      <c r="C248" s="1" t="str">
        <f ca="1">IFERROR(__xludf.DUMMYFUNCTION("""COMPUTED_VALUE"""),"ej953767195th")</f>
        <v>ej953767195th</v>
      </c>
      <c r="D248" s="1" t="str">
        <f ca="1">IFERROR(__xludf.DUMMYFUNCTION("""COMPUTED_VALUE"""),"ชลลดา")</f>
        <v>ชลลดา</v>
      </c>
      <c r="E248" s="1" t="str">
        <f ca="1">IFERROR(__xludf.DUMMYFUNCTION("""COMPUTED_VALUE"""),"062-2016651")</f>
        <v>062-2016651</v>
      </c>
      <c r="F248" s="1" t="str">
        <f ca="1">IFERROR(__xludf.DUMMYFUNCTION("""COMPUTED_VALUE"""),"2098 บ.บางจากคอร์ปเปอร์เรชั่น ซ.สุขุมวิท")</f>
        <v>2098 บ.บางจากคอร์ปเปอร์เรชั่น ซ.สุขุมวิท</v>
      </c>
      <c r="G248" s="1" t="str">
        <f ca="1">IFERROR(__xludf.DUMMYFUNCTION("""COMPUTED_VALUE"""),"ตรวจสอบการนำจ่าย")</f>
        <v>ตรวจสอบการนำจ่าย</v>
      </c>
      <c r="H248" s="1" t="str">
        <f ca="1">IFERROR(__xludf.DUMMYFUNCTION("""COMPUTED_VALUE"""),"-")</f>
        <v>-</v>
      </c>
      <c r="I248" s="1" t="str">
        <f ca="1">IFERROR(__xludf.DUMMYFUNCTION("""COMPUTED_VALUE"""),"-")</f>
        <v>-</v>
      </c>
      <c r="J248" s="1" t="str">
        <f ca="1">IFERROR(__xludf.DUMMYFUNCTION("""COMPUTED_VALUE"""),"นำจ่ายรถยนต์")</f>
        <v>นำจ่ายรถยนต์</v>
      </c>
      <c r="K248" s="1" t="str">
        <f ca="1">IFERROR(__xludf.DUMMYFUNCTION("""COMPUTED_VALUE"""),"car10260evd5002")</f>
        <v>car10260evd5002</v>
      </c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ht="15.75" customHeight="1" x14ac:dyDescent="0.2">
      <c r="A249" s="8">
        <f ca="1">IFERROR(__xludf.DUMMYFUNCTION("""COMPUTED_VALUE"""),45265.4891756944)</f>
        <v>45265.489175694398</v>
      </c>
      <c r="B249" s="1" t="str">
        <f ca="1">IFERROR(__xludf.DUMMYFUNCTION("""COMPUTED_VALUE"""),"On Queue")</f>
        <v>On Queue</v>
      </c>
      <c r="C249" s="1" t="str">
        <f ca="1">IFERROR(__xludf.DUMMYFUNCTION("""COMPUTED_VALUE"""),"em123581085th")</f>
        <v>em123581085th</v>
      </c>
      <c r="D249" s="1" t="str">
        <f ca="1">IFERROR(__xludf.DUMMYFUNCTION("""COMPUTED_VALUE"""),"ธัญญานันท์")</f>
        <v>ธัญญานันท์</v>
      </c>
      <c r="E249" s="1" t="str">
        <f ca="1">IFERROR(__xludf.DUMMYFUNCTION("""COMPUTED_VALUE"""),"089-3569562")</f>
        <v>089-3569562</v>
      </c>
      <c r="F249" s="1" t="str">
        <f ca="1">IFERROR(__xludf.DUMMYFUNCTION("""COMPUTED_VALUE"""),"988/160 ซ.สาธิต 57 แยก 20 (980/160)")</f>
        <v>988/160 ซ.สาธิต 57 แยก 20 (980/160)</v>
      </c>
      <c r="G249" s="1" t="str">
        <f ca="1">IFERROR(__xludf.DUMMYFUNCTION("""COMPUTED_VALUE"""),"ตรวจสอบการนำจ่าย")</f>
        <v>ตรวจสอบการนำจ่าย</v>
      </c>
      <c r="H249" s="1" t="str">
        <f ca="1">IFERROR(__xludf.DUMMYFUNCTION("""COMPUTED_VALUE"""),"-")</f>
        <v>-</v>
      </c>
      <c r="I249" s="1" t="str">
        <f ca="1">IFERROR(__xludf.DUMMYFUNCTION("""COMPUTED_VALUE"""),"-")</f>
        <v>-</v>
      </c>
      <c r="J249" s="1" t="str">
        <f ca="1">IFERROR(__xludf.DUMMYFUNCTION("""COMPUTED_VALUE"""),"DB3")</f>
        <v>DB3</v>
      </c>
      <c r="K249" s="1" t="str">
        <f ca="1">IFERROR(__xludf.DUMMYFUNCTION("""COMPUTED_VALUE"""),"ems10260evd3029")</f>
        <v>ems10260evd3029</v>
      </c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ht="15.75" customHeight="1" x14ac:dyDescent="0.2">
      <c r="A250" s="8">
        <f ca="1">IFERROR(__xludf.DUMMYFUNCTION("""COMPUTED_VALUE"""),45265.4905026157)</f>
        <v>45265.490502615699</v>
      </c>
      <c r="B250" s="1" t="str">
        <f ca="1">IFERROR(__xludf.DUMMYFUNCTION("""COMPUTED_VALUE"""),"CEC")</f>
        <v>CEC</v>
      </c>
      <c r="C250" s="1" t="str">
        <f ca="1">IFERROR(__xludf.DUMMYFUNCTION("""COMPUTED_VALUE"""),"ea72606062th")</f>
        <v>ea72606062th</v>
      </c>
      <c r="D250" s="1" t="str">
        <f ca="1">IFERROR(__xludf.DUMMYFUNCTION("""COMPUTED_VALUE"""),"ธนะพัตร")</f>
        <v>ธนะพัตร</v>
      </c>
      <c r="E250" s="1" t="str">
        <f ca="1">IFERROR(__xludf.DUMMYFUNCTION("""COMPUTED_VALUE"""),"065-2155644")</f>
        <v>065-2155644</v>
      </c>
      <c r="F250" s="1" t="str">
        <f ca="1">IFERROR(__xludf.DUMMYFUNCTION("""COMPUTED_VALUE"""),"1 ซอย.เทพสง่า สุขุมวิท 103")</f>
        <v>1 ซอย.เทพสง่า สุขุมวิท 103</v>
      </c>
      <c r="G250" s="1" t="str">
        <f ca="1">IFERROR(__xludf.DUMMYFUNCTION("""COMPUTED_VALUE"""),"นำจ่ายใหม่")</f>
        <v>นำจ่ายใหม่</v>
      </c>
      <c r="H250" s="1" t="str">
        <f ca="1">IFERROR(__xludf.DUMMYFUNCTION("""COMPUTED_VALUE"""),"COD.224 บาท
")</f>
        <v xml:space="preserve">COD.224 บาท
</v>
      </c>
      <c r="I250" s="1" t="str">
        <f ca="1">IFERROR(__xludf.DUMMYFUNCTION("""COMPUTED_VALUE"""),"-")</f>
        <v>-</v>
      </c>
      <c r="J250" s="1" t="str">
        <f ca="1">IFERROR(__xludf.DUMMYFUNCTION("""COMPUTED_VALUE"""),"DB3")</f>
        <v>DB3</v>
      </c>
      <c r="K250" s="1" t="str">
        <f ca="1">IFERROR(__xludf.DUMMYFUNCTION("""COMPUTED_VALUE"""),"ems10260evd3033")</f>
        <v>ems10260evd3033</v>
      </c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ht="15.75" customHeight="1" x14ac:dyDescent="0.2">
      <c r="A251" s="8">
        <f ca="1">IFERROR(__xludf.DUMMYFUNCTION("""COMPUTED_VALUE"""),45265.4947498842)</f>
        <v>45265.494749884201</v>
      </c>
      <c r="B251" s="1" t="str">
        <f ca="1">IFERROR(__xludf.DUMMYFUNCTION("""COMPUTED_VALUE"""),"CEC")</f>
        <v>CEC</v>
      </c>
      <c r="C251" s="1" t="str">
        <f ca="1">IFERROR(__xludf.DUMMYFUNCTION("""COMPUTED_VALUE"""),"ri897109257th")</f>
        <v>ri897109257th</v>
      </c>
      <c r="D251" s="1" t="str">
        <f ca="1">IFERROR(__xludf.DUMMYFUNCTION("""COMPUTED_VALUE"""),"ศิรีรัตน์")</f>
        <v>ศิรีรัตน์</v>
      </c>
      <c r="E251" s="1" t="str">
        <f ca="1">IFERROR(__xludf.DUMMYFUNCTION("""COMPUTED_VALUE"""),"063-8052464")</f>
        <v>063-8052464</v>
      </c>
      <c r="F251" s="1" t="str">
        <f ca="1">IFERROR(__xludf.DUMMYFUNCTION("""COMPUTED_VALUE"""),"59 ที เจ แมนชั่น สุขุมวิท 105")</f>
        <v>59 ที เจ แมนชั่น สุขุมวิท 105</v>
      </c>
      <c r="G251" s="1" t="str">
        <f ca="1">IFERROR(__xludf.DUMMYFUNCTION("""COMPUTED_VALUE"""),"ตรวจสอบการนำจ่าย")</f>
        <v>ตรวจสอบการนำจ่าย</v>
      </c>
      <c r="H251" s="1" t="str">
        <f ca="1">IFERROR(__xludf.DUMMYFUNCTION("""COMPUTED_VALUE"""),"-")</f>
        <v>-</v>
      </c>
      <c r="I251" s="1" t="str">
        <f ca="1">IFERROR(__xludf.DUMMYFUNCTION("""COMPUTED_VALUE"""),"-")</f>
        <v>-</v>
      </c>
      <c r="J251" s="1" t="str">
        <f ca="1">IFERROR(__xludf.DUMMYFUNCTION("""COMPUTED_VALUE"""),"DB1")</f>
        <v>DB1</v>
      </c>
      <c r="K251" s="1" t="str">
        <f ca="1">IFERROR(__xludf.DUMMYFUNCTION("""COMPUTED_VALUE"""),"ems10260evd1019")</f>
        <v>ems10260evd1019</v>
      </c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ht="15.75" customHeight="1" x14ac:dyDescent="0.2">
      <c r="A252" s="8">
        <f ca="1">IFERROR(__xludf.DUMMYFUNCTION("""COMPUTED_VALUE"""),45265.6481299305)</f>
        <v>45265.648129930501</v>
      </c>
      <c r="B252" s="1" t="str">
        <f ca="1">IFERROR(__xludf.DUMMYFUNCTION("""COMPUTED_VALUE"""),"CEC")</f>
        <v>CEC</v>
      </c>
      <c r="C252" s="1" t="str">
        <f ca="1">IFERROR(__xludf.DUMMYFUNCTION("""COMPUTED_VALUE"""),"eb547067848th")</f>
        <v>eb547067848th</v>
      </c>
      <c r="D252" s="1" t="str">
        <f ca="1">IFERROR(__xludf.DUMMYFUNCTION("""COMPUTED_VALUE"""),"มิเชล")</f>
        <v>มิเชล</v>
      </c>
      <c r="E252" s="1" t="str">
        <f ca="1">IFERROR(__xludf.DUMMYFUNCTION("""COMPUTED_VALUE"""),"084-0639729")</f>
        <v>084-0639729</v>
      </c>
      <c r="F252" s="1" t="str">
        <f ca="1">IFERROR(__xludf.DUMMYFUNCTION("""COMPUTED_VALUE"""),"448/298 อพาร์ทเมนท์ ถ.อ่อนนุช")</f>
        <v>448/298 อพาร์ทเมนท์ ถ.อ่อนนุช</v>
      </c>
      <c r="G252" s="1" t="str">
        <f ca="1">IFERROR(__xludf.DUMMYFUNCTION("""COMPUTED_VALUE"""),"ตรวจสอบการนำจ่าย")</f>
        <v>ตรวจสอบการนำจ่าย</v>
      </c>
      <c r="H252" s="1" t="str">
        <f ca="1">IFERROR(__xludf.DUMMYFUNCTION("""COMPUTED_VALUE"""),"-")</f>
        <v>-</v>
      </c>
      <c r="I252" s="1" t="str">
        <f ca="1">IFERROR(__xludf.DUMMYFUNCTION("""COMPUTED_VALUE"""),"-")</f>
        <v>-</v>
      </c>
      <c r="J252" s="1" t="str">
        <f ca="1">IFERROR(__xludf.DUMMYFUNCTION("""COMPUTED_VALUE"""),"นำจ่ายรถยนต์")</f>
        <v>นำจ่ายรถยนต์</v>
      </c>
      <c r="K252" s="1" t="str">
        <f ca="1">IFERROR(__xludf.DUMMYFUNCTION("""COMPUTED_VALUE"""),"car10260evd5014")</f>
        <v>car10260evd5014</v>
      </c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ht="15.75" customHeight="1" x14ac:dyDescent="0.2">
      <c r="A253" s="8">
        <f ca="1">IFERROR(__xludf.DUMMYFUNCTION("""COMPUTED_VALUE"""),45265.6497645138)</f>
        <v>45265.649764513801</v>
      </c>
      <c r="B253" s="1" t="str">
        <f ca="1">IFERROR(__xludf.DUMMYFUNCTION("""COMPUTED_VALUE"""),"CEC")</f>
        <v>CEC</v>
      </c>
      <c r="C253" s="1" t="str">
        <f ca="1">IFERROR(__xludf.DUMMYFUNCTION("""COMPUTED_VALUE"""),"ri889598505th")</f>
        <v>ri889598505th</v>
      </c>
      <c r="D253" s="1" t="str">
        <f ca="1">IFERROR(__xludf.DUMMYFUNCTION("""COMPUTED_VALUE"""),"กนกนุช")</f>
        <v>กนกนุช</v>
      </c>
      <c r="E253" s="1" t="str">
        <f ca="1">IFERROR(__xludf.DUMMYFUNCTION("""COMPUTED_VALUE"""),"081-3599555")</f>
        <v>081-3599555</v>
      </c>
      <c r="F253" s="1" t="str">
        <f ca="1">IFERROR(__xludf.DUMMYFUNCTION("""COMPUTED_VALUE"""),"549 บ้าน บางนา ตราด56")</f>
        <v>549 บ้าน บางนา ตราด56</v>
      </c>
      <c r="G253" s="1" t="str">
        <f ca="1">IFERROR(__xludf.DUMMYFUNCTION("""COMPUTED_VALUE"""),"นำจ่ายใหม่")</f>
        <v>นำจ่ายใหม่</v>
      </c>
      <c r="H253" s="1" t="str">
        <f ca="1">IFERROR(__xludf.DUMMYFUNCTION("""COMPUTED_VALUE"""),"-")</f>
        <v>-</v>
      </c>
      <c r="I253" s="1" t="str">
        <f ca="1">IFERROR(__xludf.DUMMYFUNCTION("""COMPUTED_VALUE"""),"-")</f>
        <v>-</v>
      </c>
      <c r="J253" s="1" t="str">
        <f ca="1">IFERROR(__xludf.DUMMYFUNCTION("""COMPUTED_VALUE"""),"DB1")</f>
        <v>DB1</v>
      </c>
      <c r="K253" s="1" t="str">
        <f ca="1">IFERROR(__xludf.DUMMYFUNCTION("""COMPUTED_VALUE"""),"ems10260evd1028")</f>
        <v>ems10260evd1028</v>
      </c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ht="15.75" customHeight="1" x14ac:dyDescent="0.2">
      <c r="A254" s="8">
        <f ca="1">IFERROR(__xludf.DUMMYFUNCTION("""COMPUTED_VALUE"""),45265.6679720138)</f>
        <v>45265.667972013798</v>
      </c>
      <c r="B254" s="1" t="str">
        <f ca="1">IFERROR(__xludf.DUMMYFUNCTION("""COMPUTED_VALUE"""),"CEC")</f>
        <v>CEC</v>
      </c>
      <c r="C254" s="1" t="str">
        <f ca="1">IFERROR(__xludf.DUMMYFUNCTION("""COMPUTED_VALUE"""),"ed039417044th")</f>
        <v>ed039417044th</v>
      </c>
      <c r="D254" s="1" t="str">
        <f ca="1">IFERROR(__xludf.DUMMYFUNCTION("""COMPUTED_VALUE"""),"อคิรา")</f>
        <v>อคิรา</v>
      </c>
      <c r="E254" s="1" t="str">
        <f ca="1">IFERROR(__xludf.DUMMYFUNCTION("""COMPUTED_VALUE"""),"064-2469519")</f>
        <v>064-2469519</v>
      </c>
      <c r="F254" s="1" t="str">
        <f ca="1">IFERROR(__xludf.DUMMYFUNCTION("""COMPUTED_VALUE"""),"200 บางนา ตราด กม.1")</f>
        <v>200 บางนา ตราด กม.1</v>
      </c>
      <c r="G254" s="1" t="str">
        <f ca="1">IFERROR(__xludf.DUMMYFUNCTION("""COMPUTED_VALUE"""),"ตรวจสอบการนำจ่าย")</f>
        <v>ตรวจสอบการนำจ่าย</v>
      </c>
      <c r="H254" s="1" t="str">
        <f ca="1">IFERROR(__xludf.DUMMYFUNCTION("""COMPUTED_VALUE"""),"-")</f>
        <v>-</v>
      </c>
      <c r="I254" s="1" t="str">
        <f ca="1">IFERROR(__xludf.DUMMYFUNCTION("""COMPUTED_VALUE"""),"-")</f>
        <v>-</v>
      </c>
      <c r="J254" s="1" t="str">
        <f ca="1">IFERROR(__xludf.DUMMYFUNCTION("""COMPUTED_VALUE"""),"DB1")</f>
        <v>DB1</v>
      </c>
      <c r="K254" s="1" t="str">
        <f ca="1">IFERROR(__xludf.DUMMYFUNCTION("""COMPUTED_VALUE"""),"ำทห10260ำอก1036")</f>
        <v>ำทห10260ำอก1036</v>
      </c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ht="15.75" customHeight="1" x14ac:dyDescent="0.2">
      <c r="A255" s="8">
        <f ca="1">IFERROR(__xludf.DUMMYFUNCTION("""COMPUTED_VALUE"""),45265.6689798263)</f>
        <v>45265.668979826303</v>
      </c>
      <c r="B255" s="1" t="str">
        <f ca="1">IFERROR(__xludf.DUMMYFUNCTION("""COMPUTED_VALUE"""),"CEC")</f>
        <v>CEC</v>
      </c>
      <c r="C255" s="1" t="str">
        <f ca="1">IFERROR(__xludf.DUMMYFUNCTION("""COMPUTED_VALUE"""),"ed096117555th")</f>
        <v>ed096117555th</v>
      </c>
      <c r="D255" s="1" t="str">
        <f ca="1">IFERROR(__xludf.DUMMYFUNCTION("""COMPUTED_VALUE"""),"pear (แพร)")</f>
        <v>pear (แพร)</v>
      </c>
      <c r="E255" s="1" t="str">
        <f ca="1">IFERROR(__xludf.DUMMYFUNCTION("""COMPUTED_VALUE"""),"092-4737333")</f>
        <v>092-4737333</v>
      </c>
      <c r="F255" s="1" t="str">
        <f ca="1">IFERROR(__xludf.DUMMYFUNCTION("""COMPUTED_VALUE"""),"1112/704 คอนโดดิเอ็กซ์เซล ฯ สุขุมวิท50")</f>
        <v>1112/704 คอนโดดิเอ็กซ์เซล ฯ สุขุมวิท50</v>
      </c>
      <c r="G255" s="1" t="str">
        <f ca="1">IFERROR(__xludf.DUMMYFUNCTION("""COMPUTED_VALUE"""),"ตรวจสอบการนำจ่าย")</f>
        <v>ตรวจสอบการนำจ่าย</v>
      </c>
      <c r="H255" s="1" t="str">
        <f ca="1">IFERROR(__xludf.DUMMYFUNCTION("""COMPUTED_VALUE"""),"-")</f>
        <v>-</v>
      </c>
      <c r="I255" s="1" t="str">
        <f ca="1">IFERROR(__xludf.DUMMYFUNCTION("""COMPUTED_VALUE"""),"-")</f>
        <v>-</v>
      </c>
      <c r="J255" s="1" t="str">
        <f ca="1">IFERROR(__xludf.DUMMYFUNCTION("""COMPUTED_VALUE"""),"นำจ่ายรถยนต์")</f>
        <v>นำจ่ายรถยนต์</v>
      </c>
      <c r="K255" s="1" t="str">
        <f ca="1">IFERROR(__xludf.DUMMYFUNCTION("""COMPUTED_VALUE"""),"car10260evd5001")</f>
        <v>car10260evd5001</v>
      </c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ht="15.75" customHeight="1" x14ac:dyDescent="0.2">
      <c r="A256" s="8">
        <f ca="1">IFERROR(__xludf.DUMMYFUNCTION("""COMPUTED_VALUE"""),45266.4050464814)</f>
        <v>45266.405046481399</v>
      </c>
      <c r="B256" s="1" t="str">
        <f ca="1">IFERROR(__xludf.DUMMYFUNCTION("""COMPUTED_VALUE"""),"CEC")</f>
        <v>CEC</v>
      </c>
      <c r="C256" s="1" t="str">
        <f ca="1">IFERROR(__xludf.DUMMYFUNCTION("""COMPUTED_VALUE"""),"rn101933307th")</f>
        <v>rn101933307th</v>
      </c>
      <c r="D256" s="1" t="str">
        <f ca="1">IFERROR(__xludf.DUMMYFUNCTION("""COMPUTED_VALUE"""),"ธีระวิช")</f>
        <v>ธีระวิช</v>
      </c>
      <c r="E256" s="1" t="str">
        <f ca="1">IFERROR(__xludf.DUMMYFUNCTION("""COMPUTED_VALUE"""),"0987196259")</f>
        <v>0987196259</v>
      </c>
      <c r="F256" s="1" t="str">
        <f ca="1">IFERROR(__xludf.DUMMYFUNCTION("""COMPUTED_VALUE"""),"42 อุดมสุข51")</f>
        <v>42 อุดมสุข51</v>
      </c>
      <c r="G256" s="1" t="str">
        <f ca="1">IFERROR(__xludf.DUMMYFUNCTION("""COMPUTED_VALUE"""),"นำจ่ายใหม่")</f>
        <v>นำจ่ายใหม่</v>
      </c>
      <c r="H256" s="1" t="str">
        <f ca="1">IFERROR(__xludf.DUMMYFUNCTION("""COMPUTED_VALUE"""),"บ้านปิด")</f>
        <v>บ้านปิด</v>
      </c>
      <c r="I256" s="1" t="str">
        <f ca="1">IFERROR(__xludf.DUMMYFUNCTION("""COMPUTED_VALUE"""),"แจ้งเจ้าหน้าที่นำจ่ายแล้ว")</f>
        <v>แจ้งเจ้าหน้าที่นำจ่ายแล้ว</v>
      </c>
      <c r="J256" s="1" t="str">
        <f ca="1">IFERROR(__xludf.DUMMYFUNCTION("""COMPUTED_VALUE"""),"DB3")</f>
        <v>DB3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ht="15.75" customHeight="1" x14ac:dyDescent="0.2">
      <c r="A257" s="8">
        <f ca="1">IFERROR(__xludf.DUMMYFUNCTION("""COMPUTED_VALUE"""),45266.4062690509)</f>
        <v>45266.406269050902</v>
      </c>
      <c r="B257" s="1" t="str">
        <f ca="1">IFERROR(__xludf.DUMMYFUNCTION("""COMPUTED_VALUE"""),"CEC")</f>
        <v>CEC</v>
      </c>
      <c r="C257" s="1" t="str">
        <f ca="1">IFERROR(__xludf.DUMMYFUNCTION("""COMPUTED_VALUE"""),"ed974978796th")</f>
        <v>ed974978796th</v>
      </c>
      <c r="D257" s="1" t="str">
        <f ca="1">IFERROR(__xludf.DUMMYFUNCTION("""COMPUTED_VALUE"""),"ธนกร")</f>
        <v>ธนกร</v>
      </c>
      <c r="E257" s="1" t="str">
        <f ca="1">IFERROR(__xludf.DUMMYFUNCTION("""COMPUTED_VALUE"""),"0939391917")</f>
        <v>0939391917</v>
      </c>
      <c r="F257" s="1" t="str">
        <f ca="1">IFERROR(__xludf.DUMMYFUNCTION("""COMPUTED_VALUE"""),"184/2")</f>
        <v>184/2</v>
      </c>
      <c r="G257" s="1" t="str">
        <f ca="1">IFERROR(__xludf.DUMMYFUNCTION("""COMPUTED_VALUE"""),"ตรวจสอบการนำจ่าย")</f>
        <v>ตรวจสอบการนำจ่าย</v>
      </c>
      <c r="H257" s="1" t="str">
        <f ca="1">IFERROR(__xludf.DUMMYFUNCTION("""COMPUTED_VALUE"""),"ผู้รับไม่ได้รับสิ่งของ")</f>
        <v>ผู้รับไม่ได้รับสิ่งของ</v>
      </c>
      <c r="I257" s="1" t="str">
        <f ca="1">IFERROR(__xludf.DUMMYFUNCTION("""COMPUTED_VALUE"""),"แจ้งเจ้าหน้านำจ่ายแล้ว")</f>
        <v>แจ้งเจ้าหน้านำจ่ายแล้ว</v>
      </c>
      <c r="J257" s="1" t="str">
        <f ca="1">IFERROR(__xludf.DUMMYFUNCTION("""COMPUTED_VALUE"""),"นำจ่ายรถยนต์")</f>
        <v>นำจ่ายรถยนต์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ht="15.75" customHeight="1" x14ac:dyDescent="0.2">
      <c r="A258" s="8">
        <f ca="1">IFERROR(__xludf.DUMMYFUNCTION("""COMPUTED_VALUE"""),45266.409058831)</f>
        <v>45266.409058830999</v>
      </c>
      <c r="B258" s="1" t="str">
        <f ca="1">IFERROR(__xludf.DUMMYFUNCTION("""COMPUTED_VALUE"""),"CEC")</f>
        <v>CEC</v>
      </c>
      <c r="C258" s="1" t="str">
        <f ca="1">IFERROR(__xludf.DUMMYFUNCTION("""COMPUTED_VALUE"""),"en506422938th")</f>
        <v>en506422938th</v>
      </c>
      <c r="D258" s="1" t="str">
        <f ca="1">IFERROR(__xludf.DUMMYFUNCTION("""COMPUTED_VALUE"""),"กรกช")</f>
        <v>กรกช</v>
      </c>
      <c r="E258" s="1" t="str">
        <f ca="1">IFERROR(__xludf.DUMMYFUNCTION("""COMPUTED_VALUE"""),"0926270718")</f>
        <v>0926270718</v>
      </c>
      <c r="F258" s="1" t="str">
        <f ca="1">IFERROR(__xludf.DUMMYFUNCTION("""COMPUTED_VALUE"""),"119 แบริ่ง 27")</f>
        <v>119 แบริ่ง 27</v>
      </c>
      <c r="G258" s="1" t="str">
        <f ca="1">IFERROR(__xludf.DUMMYFUNCTION("""COMPUTED_VALUE"""),"นำจ่ายใหม่")</f>
        <v>นำจ่ายใหม่</v>
      </c>
      <c r="H258" s="1" t="str">
        <f ca="1">IFERROR(__xludf.DUMMYFUNCTION("""COMPUTED_VALUE"""),"cod 1770")</f>
        <v>cod 1770</v>
      </c>
      <c r="I258" s="1" t="str">
        <f ca="1">IFERROR(__xludf.DUMMYFUNCTION("""COMPUTED_VALUE"""),"แจ้งเจ้าหน้าที่นำจ่ายแล้ว")</f>
        <v>แจ้งเจ้าหน้าที่นำจ่ายแล้ว</v>
      </c>
      <c r="J258" s="1" t="str">
        <f ca="1">IFERROR(__xludf.DUMMYFUNCTION("""COMPUTED_VALUE"""),"DB1")</f>
        <v>DB1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ht="15.75" customHeight="1" x14ac:dyDescent="0.2">
      <c r="A259" s="8">
        <f ca="1">IFERROR(__xludf.DUMMYFUNCTION("""COMPUTED_VALUE"""),45266.4104703009)</f>
        <v>45266.4104703009</v>
      </c>
      <c r="B259" s="1" t="str">
        <f ca="1">IFERROR(__xludf.DUMMYFUNCTION("""COMPUTED_VALUE"""),"CEC")</f>
        <v>CEC</v>
      </c>
      <c r="C259" s="1" t="str">
        <f ca="1">IFERROR(__xludf.DUMMYFUNCTION("""COMPUTED_VALUE"""),"ri908984217th")</f>
        <v>ri908984217th</v>
      </c>
      <c r="D259" s="1" t="str">
        <f ca="1">IFERROR(__xludf.DUMMYFUNCTION("""COMPUTED_VALUE"""),"อภิสรา")</f>
        <v>อภิสรา</v>
      </c>
      <c r="E259" s="1" t="str">
        <f ca="1">IFERROR(__xludf.DUMMYFUNCTION("""COMPUTED_VALUE"""),"0949514650")</f>
        <v>0949514650</v>
      </c>
      <c r="F259" s="1" t="str">
        <f ca="1">IFERROR(__xludf.DUMMYFUNCTION("""COMPUTED_VALUE"""),"516 วชิรธรรมสาธิต 57 แยก14")</f>
        <v>516 วชิรธรรมสาธิต 57 แยก14</v>
      </c>
      <c r="G259" s="1" t="str">
        <f ca="1">IFERROR(__xludf.DUMMYFUNCTION("""COMPUTED_VALUE"""),"นำจ่ายใหม่")</f>
        <v>นำจ่ายใหม่</v>
      </c>
      <c r="H259" s="1" t="str">
        <f ca="1">IFERROR(__xludf.DUMMYFUNCTION("""COMPUTED_VALUE"""),"บ้านปิด")</f>
        <v>บ้านปิด</v>
      </c>
      <c r="I259" s="1" t="str">
        <f ca="1">IFERROR(__xludf.DUMMYFUNCTION("""COMPUTED_VALUE"""),"แจ้งเจ้าหน้าที่นำจ่ายแล้ว")</f>
        <v>แจ้งเจ้าหน้าที่นำจ่ายแล้ว</v>
      </c>
      <c r="J259" s="1" t="str">
        <f ca="1">IFERROR(__xludf.DUMMYFUNCTION("""COMPUTED_VALUE"""),"DB3")</f>
        <v>DB3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ht="15.75" customHeight="1" x14ac:dyDescent="0.2">
      <c r="A260" s="8">
        <f ca="1">IFERROR(__xludf.DUMMYFUNCTION("""COMPUTED_VALUE"""),45266.413824456)</f>
        <v>45266.413824456002</v>
      </c>
      <c r="B260" s="1" t="str">
        <f ca="1">IFERROR(__xludf.DUMMYFUNCTION("""COMPUTED_VALUE"""),"CEC")</f>
        <v>CEC</v>
      </c>
      <c r="C260" s="1" t="str">
        <f ca="1">IFERROR(__xludf.DUMMYFUNCTION("""COMPUTED_VALUE"""),"ef178020871th")</f>
        <v>ef178020871th</v>
      </c>
      <c r="D260" s="1" t="str">
        <f ca="1">IFERROR(__xludf.DUMMYFUNCTION("""COMPUTED_VALUE"""),"อนุชา")</f>
        <v>อนุชา</v>
      </c>
      <c r="E260" s="1" t="str">
        <f ca="1">IFERROR(__xludf.DUMMYFUNCTION("""COMPUTED_VALUE"""),"0818391457")</f>
        <v>0818391457</v>
      </c>
      <c r="F260" s="1" t="str">
        <f ca="1">IFERROR(__xludf.DUMMYFUNCTION("""COMPUTED_VALUE"""),"1 บางนาตราด 19แยก22")</f>
        <v>1 บางนาตราด 19แยก22</v>
      </c>
      <c r="G260" s="1" t="str">
        <f ca="1">IFERROR(__xludf.DUMMYFUNCTION("""COMPUTED_VALUE"""),"นำจ่ายใหม่")</f>
        <v>นำจ่ายใหม่</v>
      </c>
      <c r="H260" s="1" t="str">
        <f ca="1">IFERROR(__xludf.DUMMYFUNCTION("""COMPUTED_VALUE"""),"บ้านปิด")</f>
        <v>บ้านปิด</v>
      </c>
      <c r="I260" s="1" t="str">
        <f ca="1">IFERROR(__xludf.DUMMYFUNCTION("""COMPUTED_VALUE"""),"แจ้งเจ้าหน้าที่นำจ่ายแล้ว")</f>
        <v>แจ้งเจ้าหน้าที่นำจ่ายแล้ว</v>
      </c>
      <c r="J260" s="1" t="str">
        <f ca="1">IFERROR(__xludf.DUMMYFUNCTION("""COMPUTED_VALUE"""),"DB2")</f>
        <v>DB2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ht="15.75" customHeight="1" x14ac:dyDescent="0.2">
      <c r="A261" s="8">
        <f ca="1">IFERROR(__xludf.DUMMYFUNCTION("""COMPUTED_VALUE"""),45266.4942590509)</f>
        <v>45266.494259050902</v>
      </c>
      <c r="B261" s="1" t="str">
        <f ca="1">IFERROR(__xludf.DUMMYFUNCTION("""COMPUTED_VALUE"""),"CEC")</f>
        <v>CEC</v>
      </c>
      <c r="C261" s="1" t="str">
        <f ca="1">IFERROR(__xludf.DUMMYFUNCTION("""COMPUTED_VALUE"""),"ed037707450th")</f>
        <v>ed037707450th</v>
      </c>
      <c r="D261" s="1" t="str">
        <f ca="1">IFERROR(__xludf.DUMMYFUNCTION("""COMPUTED_VALUE"""),"ลินดา")</f>
        <v>ลินดา</v>
      </c>
      <c r="E261" s="1" t="str">
        <f ca="1">IFERROR(__xludf.DUMMYFUNCTION("""COMPUTED_VALUE"""),"0943649416")</f>
        <v>0943649416</v>
      </c>
      <c r="F261" s="1" t="str">
        <f ca="1">IFERROR(__xludf.DUMMYFUNCTION("""COMPUTED_VALUE"""),"104 แบริ่ง33")</f>
        <v>104 แบริ่ง33</v>
      </c>
      <c r="G261" s="1" t="str">
        <f ca="1">IFERROR(__xludf.DUMMYFUNCTION("""COMPUTED_VALUE"""),"นำจ่ายใหม่")</f>
        <v>นำจ่ายใหม่</v>
      </c>
      <c r="H261" s="1" t="str">
        <f ca="1">IFERROR(__xludf.DUMMYFUNCTION("""COMPUTED_VALUE"""),"บ้านปิด")</f>
        <v>บ้านปิด</v>
      </c>
      <c r="I261" s="1" t="str">
        <f ca="1">IFERROR(__xludf.DUMMYFUNCTION("""COMPUTED_VALUE"""),"แจ้งเจ้าหน้าที่นำจ่ายแล้ว")</f>
        <v>แจ้งเจ้าหน้าที่นำจ่ายแล้ว</v>
      </c>
      <c r="J261" s="1" t="str">
        <f ca="1">IFERROR(__xludf.DUMMYFUNCTION("""COMPUTED_VALUE"""),"DB1")</f>
        <v>DB1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ht="15.75" customHeight="1" x14ac:dyDescent="0.2">
      <c r="A262" s="8">
        <f ca="1">IFERROR(__xludf.DUMMYFUNCTION("""COMPUTED_VALUE"""),45266.4999154513)</f>
        <v>45266.499915451299</v>
      </c>
      <c r="B262" s="1" t="str">
        <f ca="1">IFERROR(__xludf.DUMMYFUNCTION("""COMPUTED_VALUE"""),"CEC")</f>
        <v>CEC</v>
      </c>
      <c r="C262" s="1" t="str">
        <f ca="1">IFERROR(__xludf.DUMMYFUNCTION("""COMPUTED_VALUE"""),"ed902817750th")</f>
        <v>ed902817750th</v>
      </c>
      <c r="D262" s="1" t="str">
        <f ca="1">IFERROR(__xludf.DUMMYFUNCTION("""COMPUTED_VALUE"""),"จินตนา")</f>
        <v>จินตนา</v>
      </c>
      <c r="E262" s="1" t="str">
        <f ca="1">IFERROR(__xludf.DUMMYFUNCTION("""COMPUTED_VALUE"""),"00879198612")</f>
        <v>00879198612</v>
      </c>
      <c r="F262" s="1" t="str">
        <f ca="1">IFERROR(__xludf.DUMMYFUNCTION("""COMPUTED_VALUE"""),"สรรพากรพื้ที่15")</f>
        <v>สรรพากรพื้ที่15</v>
      </c>
      <c r="G262" s="1" t="str">
        <f ca="1">IFERROR(__xludf.DUMMYFUNCTION("""COMPUTED_VALUE"""),"นำจ่ายใหม่")</f>
        <v>นำจ่ายใหม่</v>
      </c>
      <c r="H262" s="1" t="str">
        <f ca="1">IFERROR(__xludf.DUMMYFUNCTION("""COMPUTED_VALUE"""),"ศูนย์ราชการปิด5/12/66")</f>
        <v>ศูนย์ราชการปิด5/12/66</v>
      </c>
      <c r="I262" s="1" t="str">
        <f ca="1">IFERROR(__xludf.DUMMYFUNCTION("""COMPUTED_VALUE"""),"แจ้งเจ้าหน้าที่นำจ่ายแล้ว")</f>
        <v>แจ้งเจ้าหน้าที่นำจ่ายแล้ว</v>
      </c>
      <c r="J262" s="1" t="str">
        <f ca="1">IFERROR(__xludf.DUMMYFUNCTION("""COMPUTED_VALUE"""),"DB1")</f>
        <v>DB1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ht="15.75" customHeight="1" x14ac:dyDescent="0.2">
      <c r="A263" s="8">
        <f ca="1">IFERROR(__xludf.DUMMYFUNCTION("""COMPUTED_VALUE"""),45266.5112406944)</f>
        <v>45266.511240694403</v>
      </c>
      <c r="B263" s="1" t="str">
        <f ca="1">IFERROR(__xludf.DUMMYFUNCTION("""COMPUTED_VALUE"""),"CEC")</f>
        <v>CEC</v>
      </c>
      <c r="C263" s="1" t="str">
        <f ca="1">IFERROR(__xludf.DUMMYFUNCTION("""COMPUTED_VALUE"""),"re949949095th")</f>
        <v>re949949095th</v>
      </c>
      <c r="D263" s="1" t="str">
        <f ca="1">IFERROR(__xludf.DUMMYFUNCTION("""COMPUTED_VALUE"""),"พรรณธิภา")</f>
        <v>พรรณธิภา</v>
      </c>
      <c r="E263" s="1" t="str">
        <f ca="1">IFERROR(__xludf.DUMMYFUNCTION("""COMPUTED_VALUE"""),"081-6670041")</f>
        <v>081-6670041</v>
      </c>
      <c r="F263" s="1" t="str">
        <f ca="1">IFERROR(__xludf.DUMMYFUNCTION("""COMPUTED_VALUE"""),"1112/88-90 ซอย.สุขุมวิท 48")</f>
        <v>1112/88-90 ซอย.สุขุมวิท 48</v>
      </c>
      <c r="G263" s="1" t="str">
        <f ca="1">IFERROR(__xludf.DUMMYFUNCTION("""COMPUTED_VALUE"""),"ตรวจสอบการนำจ่าย")</f>
        <v>ตรวจสอบการนำจ่าย</v>
      </c>
      <c r="H263" s="1" t="str">
        <f ca="1">IFERROR(__xludf.DUMMYFUNCTION("""COMPUTED_VALUE"""),"จ่ายผิดพื้นที่ 10110")</f>
        <v>จ่ายผิดพื้นที่ 10110</v>
      </c>
      <c r="I263" s="1" t="str">
        <f ca="1">IFERROR(__xludf.DUMMYFUNCTION("""COMPUTED_VALUE"""),"-")</f>
        <v>-</v>
      </c>
      <c r="J263" s="1" t="str">
        <f ca="1">IFERROR(__xludf.DUMMYFUNCTION("""COMPUTED_VALUE"""),"นำจ่ายรถยนต์")</f>
        <v>นำจ่ายรถยนต์</v>
      </c>
      <c r="K263" s="1" t="str">
        <f ca="1">IFERROR(__xludf.DUMMYFUNCTION("""COMPUTED_VALUE"""),"car10260evd5002")</f>
        <v>car10260evd5002</v>
      </c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ht="15.75" customHeight="1" x14ac:dyDescent="0.2">
      <c r="A264" s="8">
        <f ca="1">IFERROR(__xludf.DUMMYFUNCTION("""COMPUTED_VALUE"""),45266.5124455787)</f>
        <v>45266.512445578701</v>
      </c>
      <c r="B264" s="1" t="str">
        <f ca="1">IFERROR(__xludf.DUMMYFUNCTION("""COMPUTED_VALUE"""),"CEC")</f>
        <v>CEC</v>
      </c>
      <c r="C264" s="1" t="str">
        <f ca="1">IFERROR(__xludf.DUMMYFUNCTION("""COMPUTED_VALUE"""),"ef175110033th")</f>
        <v>ef175110033th</v>
      </c>
      <c r="D264" s="1" t="str">
        <f ca="1">IFERROR(__xludf.DUMMYFUNCTION("""COMPUTED_VALUE"""),"สุชาดา")</f>
        <v>สุชาดา</v>
      </c>
      <c r="E264" s="1" t="str">
        <f ca="1">IFERROR(__xludf.DUMMYFUNCTION("""COMPUTED_VALUE"""),"099-3944996")</f>
        <v>099-3944996</v>
      </c>
      <c r="F264" s="1" t="str">
        <f ca="1">IFERROR(__xludf.DUMMYFUNCTION("""COMPUTED_VALUE"""),"15 หสม.พี ซี การบัญชี ซ.ลาซาน71")</f>
        <v>15 หสม.พี ซี การบัญชี ซ.ลาซาน71</v>
      </c>
      <c r="G264" s="1" t="str">
        <f ca="1">IFERROR(__xludf.DUMMYFUNCTION("""COMPUTED_VALUE"""),"ตรวจสอบการนำจ่าย")</f>
        <v>ตรวจสอบการนำจ่าย</v>
      </c>
      <c r="H264" s="1" t="str">
        <f ca="1">IFERROR(__xludf.DUMMYFUNCTION("""COMPUTED_VALUE"""),"-")</f>
        <v>-</v>
      </c>
      <c r="I264" s="1" t="str">
        <f ca="1">IFERROR(__xludf.DUMMYFUNCTION("""COMPUTED_VALUE"""),"-")</f>
        <v>-</v>
      </c>
      <c r="J264" s="1" t="str">
        <f ca="1">IFERROR(__xludf.DUMMYFUNCTION("""COMPUTED_VALUE"""),"DB1")</f>
        <v>DB1</v>
      </c>
      <c r="K264" s="1" t="str">
        <f ca="1">IFERROR(__xludf.DUMMYFUNCTION("""COMPUTED_VALUE"""),"ems10260evd1021")</f>
        <v>ems10260evd1021</v>
      </c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ht="15.75" customHeight="1" x14ac:dyDescent="0.2">
      <c r="A265" s="8">
        <f ca="1">IFERROR(__xludf.DUMMYFUNCTION("""COMPUTED_VALUE"""),45266.51340875)</f>
        <v>45266.513408749997</v>
      </c>
      <c r="B265" s="1" t="str">
        <f ca="1">IFERROR(__xludf.DUMMYFUNCTION("""COMPUTED_VALUE"""),"CEC")</f>
        <v>CEC</v>
      </c>
      <c r="C265" s="1" t="str">
        <f ca="1">IFERROR(__xludf.DUMMYFUNCTION("""COMPUTED_VALUE"""),"ed748346977th")</f>
        <v>ed748346977th</v>
      </c>
      <c r="D265" s="1" t="str">
        <f ca="1">IFERROR(__xludf.DUMMYFUNCTION("""COMPUTED_VALUE"""),"นันธิญา")</f>
        <v>นันธิญา</v>
      </c>
      <c r="E265" s="1" t="str">
        <f ca="1">IFERROR(__xludf.DUMMYFUNCTION("""COMPUTED_VALUE"""),"095-5979287")</f>
        <v>095-5979287</v>
      </c>
      <c r="F265" s="1" t="str">
        <f ca="1">IFERROR(__xludf.DUMMYFUNCTION("""COMPUTED_VALUE"""),"2 บ.เพาเวอร์ไลน์ สุขุมวิท81")</f>
        <v>2 บ.เพาเวอร์ไลน์ สุขุมวิท81</v>
      </c>
      <c r="G265" s="1" t="str">
        <f ca="1">IFERROR(__xludf.DUMMYFUNCTION("""COMPUTED_VALUE"""),"ตรวจสอบการนำจ่าย")</f>
        <v>ตรวจสอบการนำจ่าย</v>
      </c>
      <c r="H265" s="1" t="str">
        <f ca="1">IFERROR(__xludf.DUMMYFUNCTION("""COMPUTED_VALUE"""),"-")</f>
        <v>-</v>
      </c>
      <c r="I265" s="1" t="str">
        <f ca="1">IFERROR(__xludf.DUMMYFUNCTION("""COMPUTED_VALUE"""),"-")</f>
        <v>-</v>
      </c>
      <c r="J265" s="1" t="str">
        <f ca="1">IFERROR(__xludf.DUMMYFUNCTION("""COMPUTED_VALUE"""),"DB3")</f>
        <v>DB3</v>
      </c>
      <c r="K265" s="1" t="str">
        <f ca="1">IFERROR(__xludf.DUMMYFUNCTION("""COMPUTED_VALUE"""),"ems10260evd3002")</f>
        <v>ems10260evd3002</v>
      </c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ht="15.75" customHeight="1" x14ac:dyDescent="0.2">
      <c r="A266" s="8">
        <f ca="1">IFERROR(__xludf.DUMMYFUNCTION("""COMPUTED_VALUE"""),45266.5144342361)</f>
        <v>45266.514434236102</v>
      </c>
      <c r="B266" s="1" t="str">
        <f ca="1">IFERROR(__xludf.DUMMYFUNCTION("""COMPUTED_VALUE"""),"CEC")</f>
        <v>CEC</v>
      </c>
      <c r="C266" s="1" t="str">
        <f ca="1">IFERROR(__xludf.DUMMYFUNCTION("""COMPUTED_VALUE"""),"pd162029979th")</f>
        <v>pd162029979th</v>
      </c>
      <c r="D266" s="1" t="str">
        <f ca="1">IFERROR(__xludf.DUMMYFUNCTION("""COMPUTED_VALUE"""),"พัชรี")</f>
        <v>พัชรี</v>
      </c>
      <c r="E266" s="1" t="str">
        <f ca="1">IFERROR(__xludf.DUMMYFUNCTION("""COMPUTED_VALUE"""),"096-7943184")</f>
        <v>096-7943184</v>
      </c>
      <c r="F266" s="1" t="str">
        <f ca="1">IFERROR(__xludf.DUMMYFUNCTION("""COMPUTED_VALUE"""),"156 ซ.อุดมสุข 45 สุขุมวิท 103")</f>
        <v>156 ซ.อุดมสุข 45 สุขุมวิท 103</v>
      </c>
      <c r="G266" s="1" t="str">
        <f ca="1">IFERROR(__xludf.DUMMYFUNCTION("""COMPUTED_VALUE"""),"ตรวจสอบการนำจ่าย")</f>
        <v>ตรวจสอบการนำจ่าย</v>
      </c>
      <c r="H266" s="1" t="str">
        <f ca="1">IFERROR(__xludf.DUMMYFUNCTION("""COMPUTED_VALUE"""),"-")</f>
        <v>-</v>
      </c>
      <c r="I266" s="1" t="str">
        <f ca="1">IFERROR(__xludf.DUMMYFUNCTION("""COMPUTED_VALUE"""),"-")</f>
        <v>-</v>
      </c>
      <c r="J266" s="1" t="str">
        <f ca="1">IFERROR(__xludf.DUMMYFUNCTION("""COMPUTED_VALUE"""),"นำจ่ายรถยนต์")</f>
        <v>นำจ่ายรถยนต์</v>
      </c>
      <c r="K266" s="1" t="str">
        <f ca="1">IFERROR(__xludf.DUMMYFUNCTION("""COMPUTED_VALUE"""),"car10260evd5009")</f>
        <v>car10260evd5009</v>
      </c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ht="15.75" customHeight="1" x14ac:dyDescent="0.2">
      <c r="A267" s="8">
        <f ca="1">IFERROR(__xludf.DUMMYFUNCTION("""COMPUTED_VALUE"""),45266.5157226273)</f>
        <v>45266.5157226273</v>
      </c>
      <c r="B267" s="1" t="str">
        <f ca="1">IFERROR(__xludf.DUMMYFUNCTION("""COMPUTED_VALUE"""),"CEC")</f>
        <v>CEC</v>
      </c>
      <c r="C267" s="1" t="str">
        <f ca="1">IFERROR(__xludf.DUMMYFUNCTION("""COMPUTED_VALUE"""),"rl859916434th")</f>
        <v>rl859916434th</v>
      </c>
      <c r="D267" s="1" t="str">
        <f ca="1">IFERROR(__xludf.DUMMYFUNCTION("""COMPUTED_VALUE"""),"-")</f>
        <v>-</v>
      </c>
      <c r="E267" s="1" t="str">
        <f ca="1">IFERROR(__xludf.DUMMYFUNCTION("""COMPUTED_VALUE"""),"094-1983444")</f>
        <v>094-1983444</v>
      </c>
      <c r="F267" s="1" t="str">
        <f ca="1">IFERROR(__xludf.DUMMYFUNCTION("""COMPUTED_VALUE"""),"บ.เอเซียสตาร์ 223/53 ห้อง57 อ.คันทรีทาวเวอร์")</f>
        <v>บ.เอเซียสตาร์ 223/53 ห้อง57 อ.คันทรีทาวเวอร์</v>
      </c>
      <c r="G267" s="1" t="str">
        <f ca="1">IFERROR(__xludf.DUMMYFUNCTION("""COMPUTED_VALUE"""),"ตรวจสอบการนำจ่าย")</f>
        <v>ตรวจสอบการนำจ่าย</v>
      </c>
      <c r="H267" s="1" t="str">
        <f ca="1">IFERROR(__xludf.DUMMYFUNCTION("""COMPUTED_VALUE"""),"-")</f>
        <v>-</v>
      </c>
      <c r="I267" s="1" t="str">
        <f ca="1">IFERROR(__xludf.DUMMYFUNCTION("""COMPUTED_VALUE"""),"-")</f>
        <v>-</v>
      </c>
      <c r="J267" s="1" t="str">
        <f ca="1">IFERROR(__xludf.DUMMYFUNCTION("""COMPUTED_VALUE"""),"นำจ่ายรถยนต์")</f>
        <v>นำจ่ายรถยนต์</v>
      </c>
      <c r="K267" s="1" t="str">
        <f ca="1">IFERROR(__xludf.DUMMYFUNCTION("""COMPUTED_VALUE"""),"car10260evd5004")</f>
        <v>car10260evd5004</v>
      </c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ht="15.75" customHeight="1" x14ac:dyDescent="0.2">
      <c r="A268" s="8">
        <f ca="1">IFERROR(__xludf.DUMMYFUNCTION("""COMPUTED_VALUE"""),45266.5167523148)</f>
        <v>45266.516752314797</v>
      </c>
      <c r="B268" s="1" t="str">
        <f ca="1">IFERROR(__xludf.DUMMYFUNCTION("""COMPUTED_VALUE"""),"CEC")</f>
        <v>CEC</v>
      </c>
      <c r="C268" s="1" t="str">
        <f ca="1">IFERROR(__xludf.DUMMYFUNCTION("""COMPUTED_VALUE"""),"em361450267th")</f>
        <v>em361450267th</v>
      </c>
      <c r="D268" s="1" t="str">
        <f ca="1">IFERROR(__xludf.DUMMYFUNCTION("""COMPUTED_VALUE"""),"อดิสรณ์ ")</f>
        <v xml:space="preserve">อดิสรณ์ </v>
      </c>
      <c r="E268" s="1" t="str">
        <f ca="1">IFERROR(__xludf.DUMMYFUNCTION("""COMPUTED_VALUE"""),"083-8596451")</f>
        <v>083-8596451</v>
      </c>
      <c r="F268" s="1" t="str">
        <f ca="1">IFERROR(__xludf.DUMMYFUNCTION("""COMPUTED_VALUE"""),"124/55 แฟลตทหารเรือ สรรพาวุธ")</f>
        <v>124/55 แฟลตทหารเรือ สรรพาวุธ</v>
      </c>
      <c r="G268" s="1" t="str">
        <f ca="1">IFERROR(__xludf.DUMMYFUNCTION("""COMPUTED_VALUE"""),"ตรวจสอบการนำจ่าย")</f>
        <v>ตรวจสอบการนำจ่าย</v>
      </c>
      <c r="H268" s="1" t="str">
        <f ca="1">IFERROR(__xludf.DUMMYFUNCTION("""COMPUTED_VALUE"""),"-")</f>
        <v>-</v>
      </c>
      <c r="I268" s="1" t="str">
        <f ca="1">IFERROR(__xludf.DUMMYFUNCTION("""COMPUTED_VALUE"""),"-")</f>
        <v>-</v>
      </c>
      <c r="J268" s="1" t="str">
        <f ca="1">IFERROR(__xludf.DUMMYFUNCTION("""COMPUTED_VALUE"""),"นำจ่ายรถยนต์")</f>
        <v>นำจ่ายรถยนต์</v>
      </c>
      <c r="K268" s="1" t="str">
        <f ca="1">IFERROR(__xludf.DUMMYFUNCTION("""COMPUTED_VALUE"""),"car10260evd5004")</f>
        <v>car10260evd5004</v>
      </c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ht="15.75" customHeight="1" x14ac:dyDescent="0.2">
      <c r="A269" s="8">
        <f ca="1">IFERROR(__xludf.DUMMYFUNCTION("""COMPUTED_VALUE"""),45266.5177950463)</f>
        <v>45266.517795046297</v>
      </c>
      <c r="B269" s="1" t="str">
        <f ca="1">IFERROR(__xludf.DUMMYFUNCTION("""COMPUTED_VALUE"""),"CEC")</f>
        <v>CEC</v>
      </c>
      <c r="C269" s="1" t="str">
        <f ca="1">IFERROR(__xludf.DUMMYFUNCTION("""COMPUTED_VALUE"""),"eh027062128th")</f>
        <v>eh027062128th</v>
      </c>
      <c r="D269" s="1" t="str">
        <f ca="1">IFERROR(__xludf.DUMMYFUNCTION("""COMPUTED_VALUE"""),"แอร์")</f>
        <v>แอร์</v>
      </c>
      <c r="E269" s="1" t="str">
        <f ca="1">IFERROR(__xludf.DUMMYFUNCTION("""COMPUTED_VALUE"""),"081-7435630")</f>
        <v>081-7435630</v>
      </c>
      <c r="F269" s="1" t="str">
        <f ca="1">IFERROR(__xludf.DUMMYFUNCTION("""COMPUTED_VALUE"""),"971/1 บ้านสวนลาซาน สุขุมวิท 105")</f>
        <v>971/1 บ้านสวนลาซาน สุขุมวิท 105</v>
      </c>
      <c r="G269" s="1" t="str">
        <f ca="1">IFERROR(__xludf.DUMMYFUNCTION("""COMPUTED_VALUE"""),"ตรวจสอบการนำจ่าย")</f>
        <v>ตรวจสอบการนำจ่าย</v>
      </c>
      <c r="H269" s="1" t="str">
        <f ca="1">IFERROR(__xludf.DUMMYFUNCTION("""COMPUTED_VALUE"""),"-")</f>
        <v>-</v>
      </c>
      <c r="I269" s="1" t="str">
        <f ca="1">IFERROR(__xludf.DUMMYFUNCTION("""COMPUTED_VALUE"""),"-")</f>
        <v>-</v>
      </c>
      <c r="J269" s="1" t="str">
        <f ca="1">IFERROR(__xludf.DUMMYFUNCTION("""COMPUTED_VALUE"""),"DB1")</f>
        <v>DB1</v>
      </c>
      <c r="K269" s="1" t="str">
        <f ca="1">IFERROR(__xludf.DUMMYFUNCTION("""COMPUTED_VALUE"""),"ems10260evd1027")</f>
        <v>ems10260evd1027</v>
      </c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ht="15.75" customHeight="1" x14ac:dyDescent="0.2">
      <c r="A270" s="8">
        <f ca="1">IFERROR(__xludf.DUMMYFUNCTION("""COMPUTED_VALUE"""),45266.519349618)</f>
        <v>45266.519349618</v>
      </c>
      <c r="B270" s="1" t="str">
        <f ca="1">IFERROR(__xludf.DUMMYFUNCTION("""COMPUTED_VALUE"""),"CEC")</f>
        <v>CEC</v>
      </c>
      <c r="C270" s="1" t="str">
        <f ca="1">IFERROR(__xludf.DUMMYFUNCTION("""COMPUTED_VALUE"""),"ea870594740th")</f>
        <v>ea870594740th</v>
      </c>
      <c r="D270" s="1" t="str">
        <f ca="1">IFERROR(__xludf.DUMMYFUNCTION("""COMPUTED_VALUE"""),"ทองใบ")</f>
        <v>ทองใบ</v>
      </c>
      <c r="E270" s="1" t="str">
        <f ca="1">IFERROR(__xludf.DUMMYFUNCTION("""COMPUTED_VALUE"""),"098-6052096")</f>
        <v>098-6052096</v>
      </c>
      <c r="F270" s="1" t="str">
        <f ca="1">IFERROR(__xludf.DUMMYFUNCTION("""COMPUTED_VALUE"""),"727 บ.คริสเตียนี่ (แคมป์คนงานก่อสร้าง)")</f>
        <v>727 บ.คริสเตียนี่ (แคมป์คนงานก่อสร้าง)</v>
      </c>
      <c r="G270" s="1" t="str">
        <f ca="1">IFERROR(__xludf.DUMMYFUNCTION("""COMPUTED_VALUE"""),"นำจ่ายใหม่")</f>
        <v>นำจ่ายใหม่</v>
      </c>
      <c r="H270" s="1" t="str">
        <f ca="1">IFERROR(__xludf.DUMMYFUNCTION("""COMPUTED_VALUE"""),"COD.250 บาท")</f>
        <v>COD.250 บาท</v>
      </c>
      <c r="I270" s="1" t="str">
        <f ca="1">IFERROR(__xludf.DUMMYFUNCTION("""COMPUTED_VALUE"""),"-")</f>
        <v>-</v>
      </c>
      <c r="J270" s="1" t="str">
        <f ca="1">IFERROR(__xludf.DUMMYFUNCTION("""COMPUTED_VALUE"""),"DB1")</f>
        <v>DB1</v>
      </c>
      <c r="K270" s="1" t="str">
        <f ca="1">IFERROR(__xludf.DUMMYFUNCTION("""COMPUTED_VALUE"""),"ems10260evd1023")</f>
        <v>ems10260evd1023</v>
      </c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ht="15.75" customHeight="1" x14ac:dyDescent="0.2">
      <c r="A271" s="8">
        <f ca="1">IFERROR(__xludf.DUMMYFUNCTION("""COMPUTED_VALUE"""),45266.5205749768)</f>
        <v>45266.520574976799</v>
      </c>
      <c r="B271" s="1" t="str">
        <f ca="1">IFERROR(__xludf.DUMMYFUNCTION("""COMPUTED_VALUE"""),"CEC")</f>
        <v>CEC</v>
      </c>
      <c r="C271" s="1" t="str">
        <f ca="1">IFERROR(__xludf.DUMMYFUNCTION("""COMPUTED_VALUE"""),"ef223447715th")</f>
        <v>ef223447715th</v>
      </c>
      <c r="D271" s="1" t="str">
        <f ca="1">IFERROR(__xludf.DUMMYFUNCTION("""COMPUTED_VALUE"""),"-")</f>
        <v>-</v>
      </c>
      <c r="E271" s="1" t="str">
        <f ca="1">IFERROR(__xludf.DUMMYFUNCTION("""COMPUTED_VALUE"""),"098-3641900")</f>
        <v>098-3641900</v>
      </c>
      <c r="F271" s="1" t="str">
        <f ca="1">IFERROR(__xludf.DUMMYFUNCTION("""COMPUTED_VALUE"""),"บ.เดโลป้า อาคารภิรัช ไบเทค")</f>
        <v>บ.เดโลป้า อาคารภิรัช ไบเทค</v>
      </c>
      <c r="G271" s="1" t="str">
        <f ca="1">IFERROR(__xludf.DUMMYFUNCTION("""COMPUTED_VALUE"""),"ตรวจสอบการนำจ่าย")</f>
        <v>ตรวจสอบการนำจ่าย</v>
      </c>
      <c r="H271" s="1" t="str">
        <f ca="1">IFERROR(__xludf.DUMMYFUNCTION("""COMPUTED_VALUE"""),"-")</f>
        <v>-</v>
      </c>
      <c r="I271" s="1" t="str">
        <f ca="1">IFERROR(__xludf.DUMMYFUNCTION("""COMPUTED_VALUE"""),"-")</f>
        <v>-</v>
      </c>
      <c r="J271" s="1" t="str">
        <f ca="1">IFERROR(__xludf.DUMMYFUNCTION("""COMPUTED_VALUE"""),"นำจ่ายรถยนต์")</f>
        <v>นำจ่ายรถยนต์</v>
      </c>
      <c r="K271" s="1" t="str">
        <f ca="1">IFERROR(__xludf.DUMMYFUNCTION("""COMPUTED_VALUE"""),"car10260ed5005")</f>
        <v>car10260ed5005</v>
      </c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ht="15.75" customHeight="1" x14ac:dyDescent="0.2">
      <c r="A272" s="8">
        <f ca="1">IFERROR(__xludf.DUMMYFUNCTION("""COMPUTED_VALUE"""),45266.5545347222)</f>
        <v>45266.5545347222</v>
      </c>
      <c r="B272" s="1" t="str">
        <f ca="1">IFERROR(__xludf.DUMMYFUNCTION("""COMPUTED_VALUE"""),"CEC")</f>
        <v>CEC</v>
      </c>
      <c r="C272" s="1" t="str">
        <f ca="1">IFERROR(__xludf.DUMMYFUNCTION("""COMPUTED_VALUE"""),"ef130850445th")</f>
        <v>ef130850445th</v>
      </c>
      <c r="D272" s="1" t="str">
        <f ca="1">IFERROR(__xludf.DUMMYFUNCTION("""COMPUTED_VALUE"""),"วาทิต")</f>
        <v>วาทิต</v>
      </c>
      <c r="E272" s="1" t="str">
        <f ca="1">IFERROR(__xludf.DUMMYFUNCTION("""COMPUTED_VALUE"""),"0631953025")</f>
        <v>0631953025</v>
      </c>
      <c r="F272" s="1" t="str">
        <f ca="1">IFERROR(__xludf.DUMMYFUNCTION("""COMPUTED_VALUE"""),"12/7-8 รีเจ้น 7/1")</f>
        <v>12/7-8 รีเจ้น 7/1</v>
      </c>
      <c r="G272" s="1" t="str">
        <f ca="1">IFERROR(__xludf.DUMMYFUNCTION("""COMPUTED_VALUE"""),"นำจ่ายใหม่")</f>
        <v>นำจ่ายใหม่</v>
      </c>
      <c r="H272" s="1" t="str">
        <f ca="1">IFERROR(__xludf.DUMMYFUNCTION("""COMPUTED_VALUE"""),"บ้านปิด")</f>
        <v>บ้านปิด</v>
      </c>
      <c r="I272" s="1" t="str">
        <f ca="1">IFERROR(__xludf.DUMMYFUNCTION("""COMPUTED_VALUE"""),"แจ้งเจ้าหน้าที่นำจ่ายแล้ว")</f>
        <v>แจ้งเจ้าหน้าที่นำจ่ายแล้ว</v>
      </c>
      <c r="J272" s="1" t="str">
        <f ca="1">IFERROR(__xludf.DUMMYFUNCTION("""COMPUTED_VALUE"""),"นำจ่ายรถยนต์")</f>
        <v>นำจ่ายรถยนต์</v>
      </c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ht="15.75" customHeight="1" x14ac:dyDescent="0.2">
      <c r="A273" s="8">
        <f ca="1">IFERROR(__xludf.DUMMYFUNCTION("""COMPUTED_VALUE"""),45266.5905392824)</f>
        <v>45266.590539282399</v>
      </c>
      <c r="B273" s="1" t="str">
        <f ca="1">IFERROR(__xludf.DUMMYFUNCTION("""COMPUTED_VALUE"""),"CEC")</f>
        <v>CEC</v>
      </c>
      <c r="C273" s="1" t="str">
        <f ca="1">IFERROR(__xludf.DUMMYFUNCTION("""COMPUTED_VALUE"""),"ed992524641th")</f>
        <v>ed992524641th</v>
      </c>
      <c r="D273" s="1" t="str">
        <f ca="1">IFERROR(__xludf.DUMMYFUNCTION("""COMPUTED_VALUE"""),"สมพงษ์")</f>
        <v>สมพงษ์</v>
      </c>
      <c r="E273" s="1" t="str">
        <f ca="1">IFERROR(__xludf.DUMMYFUNCTION("""COMPUTED_VALUE"""),"0814847573")</f>
        <v>0814847573</v>
      </c>
      <c r="F273" s="1" t="str">
        <f ca="1">IFERROR(__xludf.DUMMYFUNCTION("""COMPUTED_VALUE"""),"39 สุขุมวิทย์54แยก7")</f>
        <v>39 สุขุมวิทย์54แยก7</v>
      </c>
      <c r="G273" s="1" t="str">
        <f ca="1">IFERROR(__xludf.DUMMYFUNCTION("""COMPUTED_VALUE"""),"นำจ่ายใหม่")</f>
        <v>นำจ่ายใหม่</v>
      </c>
      <c r="H273" s="1" t="str">
        <f ca="1">IFERROR(__xludf.DUMMYFUNCTION("""COMPUTED_VALUE"""),"บ้านปิด")</f>
        <v>บ้านปิด</v>
      </c>
      <c r="I273" s="1" t="str">
        <f ca="1">IFERROR(__xludf.DUMMYFUNCTION("""COMPUTED_VALUE"""),"แจ้งเจ้าที่นำจ่ายแล้ว")</f>
        <v>แจ้งเจ้าที่นำจ่ายแล้ว</v>
      </c>
      <c r="J273" s="1" t="str">
        <f ca="1">IFERROR(__xludf.DUMMYFUNCTION("""COMPUTED_VALUE"""),"DB4")</f>
        <v>DB4</v>
      </c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ht="15.75" customHeight="1" x14ac:dyDescent="0.2">
      <c r="A274" s="8">
        <f ca="1">IFERROR(__xludf.DUMMYFUNCTION("""COMPUTED_VALUE"""),45266.5925572222)</f>
        <v>45266.592557222197</v>
      </c>
      <c r="B274" s="1" t="str">
        <f ca="1">IFERROR(__xludf.DUMMYFUNCTION("""COMPUTED_VALUE"""),"CEC")</f>
        <v>CEC</v>
      </c>
      <c r="C274" s="1" t="str">
        <f ca="1">IFERROR(__xludf.DUMMYFUNCTION("""COMPUTED_VALUE"""),"ีีีีีีีีีีuq354952820sg")</f>
        <v>ีีีีีีีีีีuq354952820sg</v>
      </c>
      <c r="D274" s="1" t="str">
        <f ca="1">IFERROR(__xludf.DUMMYFUNCTION("""COMPUTED_VALUE"""),"อภิวฒน์
")</f>
        <v xml:space="preserve">อภิวฒน์
</v>
      </c>
      <c r="E274" s="1" t="str">
        <f ca="1">IFERROR(__xludf.DUMMYFUNCTION("""COMPUTED_VALUE"""),"0909851647")</f>
        <v>0909851647</v>
      </c>
      <c r="F274" s="1" t="str">
        <f ca="1">IFERROR(__xludf.DUMMYFUNCTION("""COMPUTED_VALUE"""),"52ว.64แยก3")</f>
        <v>52ว.64แยก3</v>
      </c>
      <c r="G274" s="1" t="str">
        <f ca="1">IFERROR(__xludf.DUMMYFUNCTION("""COMPUTED_VALUE"""),"นำจ่ายใหม่")</f>
        <v>นำจ่ายใหม่</v>
      </c>
      <c r="H274" s="1" t="str">
        <f ca="1">IFERROR(__xludf.DUMMYFUNCTION("""COMPUTED_VALUE"""),"บ้านปิด")</f>
        <v>บ้านปิด</v>
      </c>
      <c r="I274" s="1" t="str">
        <f ca="1">IFERROR(__xludf.DUMMYFUNCTION("""COMPUTED_VALUE"""),"แจ้งเจ้าที่นำจ่ายแล้ว")</f>
        <v>แจ้งเจ้าที่นำจ่ายแล้ว</v>
      </c>
      <c r="J274" s="1" t="str">
        <f ca="1">IFERROR(__xludf.DUMMYFUNCTION("""COMPUTED_VALUE"""),"DB4")</f>
        <v>DB4</v>
      </c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ht="15.75" customHeight="1" x14ac:dyDescent="0.2">
      <c r="A275" s="8">
        <f ca="1">IFERROR(__xludf.DUMMYFUNCTION("""COMPUTED_VALUE"""),45266.598410243)</f>
        <v>45266.598410243001</v>
      </c>
      <c r="B275" s="1" t="str">
        <f ca="1">IFERROR(__xludf.DUMMYFUNCTION("""COMPUTED_VALUE"""),"CEC")</f>
        <v>CEC</v>
      </c>
      <c r="C275" s="1" t="str">
        <f ca="1">IFERROR(__xludf.DUMMYFUNCTION("""COMPUTED_VALUE"""),"ed089506515th")</f>
        <v>ed089506515th</v>
      </c>
      <c r="D275" s="1" t="str">
        <f ca="1">IFERROR(__xludf.DUMMYFUNCTION("""COMPUTED_VALUE"""),"สุนันท์")</f>
        <v>สุนันท์</v>
      </c>
      <c r="E275" s="1" t="str">
        <f ca="1">IFERROR(__xludf.DUMMYFUNCTION("""COMPUTED_VALUE"""),"061-7394949")</f>
        <v>061-7394949</v>
      </c>
      <c r="F275" s="1" t="str">
        <f ca="1">IFERROR(__xludf.DUMMYFUNCTION("""COMPUTED_VALUE"""),"120/22 แฟลตทหารเรือ ริมทางรถฯ")</f>
        <v>120/22 แฟลตทหารเรือ ริมทางรถฯ</v>
      </c>
      <c r="G275" s="1" t="str">
        <f ca="1">IFERROR(__xludf.DUMMYFUNCTION("""COMPUTED_VALUE"""),"ตรวจสอบการนำจ่าย")</f>
        <v>ตรวจสอบการนำจ่าย</v>
      </c>
      <c r="H275" s="1" t="str">
        <f ca="1">IFERROR(__xludf.DUMMYFUNCTION("""COMPUTED_VALUE"""),"-")</f>
        <v>-</v>
      </c>
      <c r="I275" s="1" t="str">
        <f ca="1">IFERROR(__xludf.DUMMYFUNCTION("""COMPUTED_VALUE"""),"-")</f>
        <v>-</v>
      </c>
      <c r="J275" s="1" t="str">
        <f ca="1">IFERROR(__xludf.DUMMYFUNCTION("""COMPUTED_VALUE"""),"DB1")</f>
        <v>DB1</v>
      </c>
      <c r="K275" s="1" t="str">
        <f ca="1">IFERROR(__xludf.DUMMYFUNCTION("""COMPUTED_VALUE"""),"ems10260evd1001")</f>
        <v>ems10260evd1001</v>
      </c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ht="15.75" customHeight="1" x14ac:dyDescent="0.2">
      <c r="A276" s="8">
        <f ca="1">IFERROR(__xludf.DUMMYFUNCTION("""COMPUTED_VALUE"""),45266.6002137268)</f>
        <v>45266.600213726801</v>
      </c>
      <c r="B276" s="1" t="str">
        <f ca="1">IFERROR(__xludf.DUMMYFUNCTION("""COMPUTED_VALUE"""),"CEC")</f>
        <v>CEC</v>
      </c>
      <c r="C276" s="1" t="str">
        <f ca="1">IFERROR(__xludf.DUMMYFUNCTION("""COMPUTED_VALUE"""),"em120850865th")</f>
        <v>em120850865th</v>
      </c>
      <c r="D276" s="1" t="str">
        <f ca="1">IFERROR(__xludf.DUMMYFUNCTION("""COMPUTED_VALUE"""),"สุรศักดิ์")</f>
        <v>สุรศักดิ์</v>
      </c>
      <c r="E276" s="1" t="str">
        <f ca="1">IFERROR(__xludf.DUMMYFUNCTION("""COMPUTED_VALUE"""),"096-0158880")</f>
        <v>096-0158880</v>
      </c>
      <c r="F276" s="1" t="str">
        <f ca="1">IFERROR(__xludf.DUMMYFUNCTION("""COMPUTED_VALUE"""),"66 ซอย.สุขุมวิท68 ร้านขายของเขตบางนา")</f>
        <v>66 ซอย.สุขุมวิท68 ร้านขายของเขตบางนา</v>
      </c>
      <c r="G276" s="1" t="str">
        <f ca="1">IFERROR(__xludf.DUMMYFUNCTION("""COMPUTED_VALUE"""),"นำจ่ายใหม่")</f>
        <v>นำจ่ายใหม่</v>
      </c>
      <c r="H276" s="1" t="str">
        <f ca="1">IFERROR(__xludf.DUMMYFUNCTION("""COMPUTED_VALUE"""),"COD.630 บาท")</f>
        <v>COD.630 บาท</v>
      </c>
      <c r="I276" s="1" t="str">
        <f ca="1">IFERROR(__xludf.DUMMYFUNCTION("""COMPUTED_VALUE"""),"-")</f>
        <v>-</v>
      </c>
      <c r="J276" s="1" t="str">
        <f ca="1">IFERROR(__xludf.DUMMYFUNCTION("""COMPUTED_VALUE"""),"DB2")</f>
        <v>DB2</v>
      </c>
      <c r="K276" s="1" t="str">
        <f ca="1">IFERROR(__xludf.DUMMYFUNCTION("""COMPUTED_VALUE"""),"ems10260evd2003")</f>
        <v>ems10260evd2003</v>
      </c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ht="15.75" customHeight="1" x14ac:dyDescent="0.2">
      <c r="A277" s="8">
        <f ca="1">IFERROR(__xludf.DUMMYFUNCTION("""COMPUTED_VALUE"""),45266.6014675115)</f>
        <v>45266.6014675115</v>
      </c>
      <c r="B277" s="1" t="str">
        <f ca="1">IFERROR(__xludf.DUMMYFUNCTION("""COMPUTED_VALUE"""),"CEC")</f>
        <v>CEC</v>
      </c>
      <c r="C277" s="1" t="str">
        <f ca="1">IFERROR(__xludf.DUMMYFUNCTION("""COMPUTED_VALUE"""),"ej738235251th")</f>
        <v>ej738235251th</v>
      </c>
      <c r="D277" s="1" t="str">
        <f ca="1">IFERROR(__xludf.DUMMYFUNCTION("""COMPUTED_VALUE"""),"พรศรี")</f>
        <v>พรศรี</v>
      </c>
      <c r="E277" s="1" t="str">
        <f ca="1">IFERROR(__xludf.DUMMYFUNCTION("""COMPUTED_VALUE"""),"081-3755376")</f>
        <v>081-3755376</v>
      </c>
      <c r="F277" s="1" t="str">
        <f ca="1">IFERROR(__xludf.DUMMYFUNCTION("""COMPUTED_VALUE"""),"888/26 บ้านสิธารมณ์รีเจ้นท์ ซ.ลาซาน ")</f>
        <v xml:space="preserve">888/26 บ้านสิธารมณ์รีเจ้นท์ ซ.ลาซาน </v>
      </c>
      <c r="G277" s="1" t="str">
        <f ca="1">IFERROR(__xludf.DUMMYFUNCTION("""COMPUTED_VALUE"""),"ตรวจสอบการนำจ่าย")</f>
        <v>ตรวจสอบการนำจ่าย</v>
      </c>
      <c r="H277" s="1" t="str">
        <f ca="1">IFERROR(__xludf.DUMMYFUNCTION("""COMPUTED_VALUE"""),"--")</f>
        <v>--</v>
      </c>
      <c r="I277" s="1" t="str">
        <f ca="1">IFERROR(__xludf.DUMMYFUNCTION("""COMPUTED_VALUE"""),"-")</f>
        <v>-</v>
      </c>
      <c r="J277" s="1" t="str">
        <f ca="1">IFERROR(__xludf.DUMMYFUNCTION("""COMPUTED_VALUE"""),"นำจ่ายรถยนต์")</f>
        <v>นำจ่ายรถยนต์</v>
      </c>
      <c r="K277" s="1" t="str">
        <f ca="1">IFERROR(__xludf.DUMMYFUNCTION("""COMPUTED_VALUE"""),"car10260evd5008")</f>
        <v>car10260evd5008</v>
      </c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ht="15.75" customHeight="1" x14ac:dyDescent="0.2">
      <c r="A278" s="8">
        <f ca="1">IFERROR(__xludf.DUMMYFUNCTION("""COMPUTED_VALUE"""),45266.602629155)</f>
        <v>45266.602629155001</v>
      </c>
      <c r="B278" s="1" t="str">
        <f ca="1">IFERROR(__xludf.DUMMYFUNCTION("""COMPUTED_VALUE"""),"CEC")</f>
        <v>CEC</v>
      </c>
      <c r="C278" s="1" t="str">
        <f ca="1">IFERROR(__xludf.DUMMYFUNCTION("""COMPUTED_VALUE"""),"en506233982th")</f>
        <v>en506233982th</v>
      </c>
      <c r="D278" s="1" t="str">
        <f ca="1">IFERROR(__xludf.DUMMYFUNCTION("""COMPUTED_VALUE"""),"พ่วน")</f>
        <v>พ่วน</v>
      </c>
      <c r="E278" s="1" t="str">
        <f ca="1">IFERROR(__xludf.DUMMYFUNCTION("""COMPUTED_VALUE"""),"062-6757330")</f>
        <v>062-6757330</v>
      </c>
      <c r="F278" s="1" t="str">
        <f ca="1">IFERROR(__xludf.DUMMYFUNCTION("""COMPUTED_VALUE"""),"18 วัดบางนานอก สรรพาวุธ")</f>
        <v>18 วัดบางนานอก สรรพาวุธ</v>
      </c>
      <c r="G278" s="1" t="str">
        <f ca="1">IFERROR(__xludf.DUMMYFUNCTION("""COMPUTED_VALUE"""),"นำจ่ายใหม่")</f>
        <v>นำจ่ายใหม่</v>
      </c>
      <c r="H278" s="1" t="str">
        <f ca="1">IFERROR(__xludf.DUMMYFUNCTION("""COMPUTED_VALUE"""),"COD.128 บาท")</f>
        <v>COD.128 บาท</v>
      </c>
      <c r="I278" s="1" t="str">
        <f ca="1">IFERROR(__xludf.DUMMYFUNCTION("""COMPUTED_VALUE"""),"-")</f>
        <v>-</v>
      </c>
      <c r="J278" s="1" t="str">
        <f ca="1">IFERROR(__xludf.DUMMYFUNCTION("""COMPUTED_VALUE"""),"DB1")</f>
        <v>DB1</v>
      </c>
      <c r="K278" s="1" t="str">
        <f ca="1">IFERROR(__xludf.DUMMYFUNCTION("""COMPUTED_VALUE"""),"ems10260evd1003")</f>
        <v>ems10260evd1003</v>
      </c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ht="15.75" customHeight="1" x14ac:dyDescent="0.2">
      <c r="A279" s="8">
        <f ca="1">IFERROR(__xludf.DUMMYFUNCTION("""COMPUTED_VALUE"""),45266.629263368)</f>
        <v>45266.629263367999</v>
      </c>
      <c r="B279" s="1" t="str">
        <f ca="1">IFERROR(__xludf.DUMMYFUNCTION("""COMPUTED_VALUE"""),"CEC")</f>
        <v>CEC</v>
      </c>
      <c r="C279" s="1" t="str">
        <f ca="1">IFERROR(__xludf.DUMMYFUNCTION("""COMPUTED_VALUE"""),"eh132288042th")</f>
        <v>eh132288042th</v>
      </c>
      <c r="D279" s="1" t="str">
        <f ca="1">IFERROR(__xludf.DUMMYFUNCTION("""COMPUTED_VALUE"""),"วรรณฤดี")</f>
        <v>วรรณฤดี</v>
      </c>
      <c r="E279" s="1" t="str">
        <f ca="1">IFERROR(__xludf.DUMMYFUNCTION("""COMPUTED_VALUE"""),"061-2234149")</f>
        <v>061-2234149</v>
      </c>
      <c r="F279" s="1" t="str">
        <f ca="1">IFERROR(__xludf.DUMMYFUNCTION("""COMPUTED_VALUE"""),"บ.ดี เค เอส เอช สุขุมวิท")</f>
        <v>บ.ดี เค เอส เอช สุขุมวิท</v>
      </c>
      <c r="G279" s="1" t="str">
        <f ca="1">IFERROR(__xludf.DUMMYFUNCTION("""COMPUTED_VALUE"""),"ตรวจสอบการนำจ่าย")</f>
        <v>ตรวจสอบการนำจ่าย</v>
      </c>
      <c r="H279" s="1" t="str">
        <f ca="1">IFERROR(__xludf.DUMMYFUNCTION("""COMPUTED_VALUE"""),"-")</f>
        <v>-</v>
      </c>
      <c r="I279" s="1" t="str">
        <f ca="1">IFERROR(__xludf.DUMMYFUNCTION("""COMPUTED_VALUE"""),"-")</f>
        <v>-</v>
      </c>
      <c r="J279" s="1" t="str">
        <f ca="1">IFERROR(__xludf.DUMMYFUNCTION("""COMPUTED_VALUE"""),"นำจ่ายรถยนต์")</f>
        <v>นำจ่ายรถยนต์</v>
      </c>
      <c r="K279" s="1" t="str">
        <f ca="1">IFERROR(__xludf.DUMMYFUNCTION("""COMPUTED_VALUE"""),"car10260evd5012")</f>
        <v>car10260evd5012</v>
      </c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ht="15.75" customHeight="1" x14ac:dyDescent="0.2">
      <c r="A280" s="8">
        <f ca="1">IFERROR(__xludf.DUMMYFUNCTION("""COMPUTED_VALUE"""),45267.4528737847)</f>
        <v>45267.452873784699</v>
      </c>
      <c r="B280" s="1" t="str">
        <f ca="1">IFERROR(__xludf.DUMMYFUNCTION("""COMPUTED_VALUE"""),"CEC")</f>
        <v>CEC</v>
      </c>
      <c r="C280" s="1" t="str">
        <f ca="1">IFERROR(__xludf.DUMMYFUNCTION("""COMPUTED_VALUE"""),"em029105550th")</f>
        <v>em029105550th</v>
      </c>
      <c r="D280" s="1" t="str">
        <f ca="1">IFERROR(__xludf.DUMMYFUNCTION("""COMPUTED_VALUE"""),"-")</f>
        <v>-</v>
      </c>
      <c r="E280" s="1" t="str">
        <f ca="1">IFERROR(__xludf.DUMMYFUNCTION("""COMPUTED_VALUE"""),"085-1131017")</f>
        <v>085-1131017</v>
      </c>
      <c r="F280" s="1" t="str">
        <f ca="1">IFERROR(__xludf.DUMMYFUNCTION("""COMPUTED_VALUE"""),"99 บ.คอมพิวเตอร์เอจ เทคโด ซ.ลาซาน19")</f>
        <v>99 บ.คอมพิวเตอร์เอจ เทคโด ซ.ลาซาน19</v>
      </c>
      <c r="G280" s="1" t="str">
        <f ca="1">IFERROR(__xludf.DUMMYFUNCTION("""COMPUTED_VALUE"""),"นำจ่ายใหม่")</f>
        <v>นำจ่ายใหม่</v>
      </c>
      <c r="H280" s="1" t="str">
        <f ca="1">IFERROR(__xludf.DUMMYFUNCTION("""COMPUTED_VALUE"""),"ออกใบแจ้ง")</f>
        <v>ออกใบแจ้ง</v>
      </c>
      <c r="I280" s="1" t="str">
        <f ca="1">IFERROR(__xludf.DUMMYFUNCTION("""COMPUTED_VALUE"""),"-")</f>
        <v>-</v>
      </c>
      <c r="J280" s="1" t="str">
        <f ca="1">IFERROR(__xludf.DUMMYFUNCTION("""COMPUTED_VALUE"""),"DB1")</f>
        <v>DB1</v>
      </c>
      <c r="K280" s="1" t="str">
        <f ca="1">IFERROR(__xludf.DUMMYFUNCTION("""COMPUTED_VALUE"""),"ems10260evd1021")</f>
        <v>ems10260evd1021</v>
      </c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ht="15.75" customHeight="1" x14ac:dyDescent="0.2">
      <c r="A281" s="8">
        <f ca="1">IFERROR(__xludf.DUMMYFUNCTION("""COMPUTED_VALUE"""),45267.4542212268)</f>
        <v>45267.454221226799</v>
      </c>
      <c r="B281" s="1" t="str">
        <f ca="1">IFERROR(__xludf.DUMMYFUNCTION("""COMPUTED_VALUE"""),"CEC")</f>
        <v>CEC</v>
      </c>
      <c r="C281" s="1" t="str">
        <f ca="1">IFERROR(__xludf.DUMMYFUNCTION("""COMPUTED_VALUE"""),"em345708716th")</f>
        <v>em345708716th</v>
      </c>
      <c r="D281" s="1" t="str">
        <f ca="1">IFERROR(__xludf.DUMMYFUNCTION("""COMPUTED_VALUE"""),"โรนิน")</f>
        <v>โรนิน</v>
      </c>
      <c r="E281" s="1" t="str">
        <f ca="1">IFERROR(__xludf.DUMMYFUNCTION("""COMPUTED_VALUE"""),"093-8211252")</f>
        <v>093-8211252</v>
      </c>
      <c r="F281" s="1" t="str">
        <f ca="1">IFERROR(__xludf.DUMMYFUNCTION("""COMPUTED_VALUE"""),"173 เฟส4 บ้านศรีพงษ์ ซ.ลาซาน46")</f>
        <v>173 เฟส4 บ้านศรีพงษ์ ซ.ลาซาน46</v>
      </c>
      <c r="G281" s="1" t="str">
        <f ca="1">IFERROR(__xludf.DUMMYFUNCTION("""COMPUTED_VALUE"""),"นำจ่ายใหม่")</f>
        <v>นำจ่ายใหม่</v>
      </c>
      <c r="H281" s="1" t="str">
        <f ca="1">IFERROR(__xludf.DUMMYFUNCTION("""COMPUTED_VALUE"""),"ออกใบแจ้ง")</f>
        <v>ออกใบแจ้ง</v>
      </c>
      <c r="I281" s="1" t="str">
        <f ca="1">IFERROR(__xludf.DUMMYFUNCTION("""COMPUTED_VALUE"""),"-")</f>
        <v>-</v>
      </c>
      <c r="J281" s="1" t="str">
        <f ca="1">IFERROR(__xludf.DUMMYFUNCTION("""COMPUTED_VALUE"""),"DB1")</f>
        <v>DB1</v>
      </c>
      <c r="K281" s="1" t="str">
        <f ca="1">IFERROR(__xludf.DUMMYFUNCTION("""COMPUTED_VALUE"""),"ems10260evd1013")</f>
        <v>ems10260evd1013</v>
      </c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ht="15.75" customHeight="1" x14ac:dyDescent="0.2">
      <c r="A282" s="8">
        <f ca="1">IFERROR(__xludf.DUMMYFUNCTION("""COMPUTED_VALUE"""),45267.4560001041)</f>
        <v>45267.456000104103</v>
      </c>
      <c r="B282" s="1" t="str">
        <f ca="1">IFERROR(__xludf.DUMMYFUNCTION("""COMPUTED_VALUE"""),"CEC")</f>
        <v>CEC</v>
      </c>
      <c r="C282" s="1" t="str">
        <f ca="1">IFERROR(__xludf.DUMMYFUNCTION("""COMPUTED_VALUE"""),"rl678265877th")</f>
        <v>rl678265877th</v>
      </c>
      <c r="D282" s="1" t="str">
        <f ca="1">IFERROR(__xludf.DUMMYFUNCTION("""COMPUTED_VALUE"""),"-")</f>
        <v>-</v>
      </c>
      <c r="E282" s="1" t="str">
        <f ca="1">IFERROR(__xludf.DUMMYFUNCTION("""COMPUTED_VALUE"""),"064-1590569")</f>
        <v>064-1590569</v>
      </c>
      <c r="F282" s="1" t="str">
        <f ca="1">IFERROR(__xludf.DUMMYFUNCTION("""COMPUTED_VALUE"""),"บ.เวนโซ่ 58 บางนา ตราด12")</f>
        <v>บ.เวนโซ่ 58 บางนา ตราด12</v>
      </c>
      <c r="G282" s="1" t="str">
        <f ca="1">IFERROR(__xludf.DUMMYFUNCTION("""COMPUTED_VALUE"""),"ตรวจสอบการนำจ่าย")</f>
        <v>ตรวจสอบการนำจ่าย</v>
      </c>
      <c r="H282" s="1" t="str">
        <f ca="1">IFERROR(__xludf.DUMMYFUNCTION("""COMPUTED_VALUE"""),"-")</f>
        <v>-</v>
      </c>
      <c r="I282" s="1" t="str">
        <f ca="1">IFERROR(__xludf.DUMMYFUNCTION("""COMPUTED_VALUE"""),"-")</f>
        <v>-</v>
      </c>
      <c r="J282" s="1" t="str">
        <f ca="1">IFERROR(__xludf.DUMMYFUNCTION("""COMPUTED_VALUE"""),"DB1")</f>
        <v>DB1</v>
      </c>
      <c r="K282" s="1" t="str">
        <f ca="1">IFERROR(__xludf.DUMMYFUNCTION("""COMPUTED_VALUE"""),"ems10260evd1033")</f>
        <v>ems10260evd1033</v>
      </c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ht="15.75" customHeight="1" x14ac:dyDescent="0.2">
      <c r="A283" s="8">
        <f ca="1">IFERROR(__xludf.DUMMYFUNCTION("""COMPUTED_VALUE"""),45267.4575305555)</f>
        <v>45267.457530555497</v>
      </c>
      <c r="B283" s="1" t="str">
        <f ca="1">IFERROR(__xludf.DUMMYFUNCTION("""COMPUTED_VALUE"""),"CEC")</f>
        <v>CEC</v>
      </c>
      <c r="C283" s="1" t="str">
        <f ca="1">IFERROR(__xludf.DUMMYFUNCTION("""COMPUTED_VALUE"""),"ed998656760th")</f>
        <v>ed998656760th</v>
      </c>
      <c r="D283" s="1" t="str">
        <f ca="1">IFERROR(__xludf.DUMMYFUNCTION("""COMPUTED_VALUE"""),"-")</f>
        <v>-</v>
      </c>
      <c r="E283" s="1" t="str">
        <f ca="1">IFERROR(__xludf.DUMMYFUNCTION("""COMPUTED_VALUE"""),"063-2710069")</f>
        <v>063-2710069</v>
      </c>
      <c r="F283" s="1" t="str">
        <f ca="1">IFERROR(__xludf.DUMMYFUNCTION("""COMPUTED_VALUE"""),"บ.สยามคลอลิตี้้วิร์พ 53 บางนา ตราด30")</f>
        <v>บ.สยามคลอลิตี้้วิร์พ 53 บางนา ตราด30</v>
      </c>
      <c r="G283" s="1" t="str">
        <f ca="1">IFERROR(__xludf.DUMMYFUNCTION("""COMPUTED_VALUE"""),"ตรวจสอบการนำจ่าย")</f>
        <v>ตรวจสอบการนำจ่าย</v>
      </c>
      <c r="H283" s="1" t="str">
        <f ca="1">IFERROR(__xludf.DUMMYFUNCTION("""COMPUTED_VALUE"""),"-")</f>
        <v>-</v>
      </c>
      <c r="I283" s="1" t="str">
        <f ca="1">IFERROR(__xludf.DUMMYFUNCTION("""COMPUTED_VALUE"""),"-")</f>
        <v>-</v>
      </c>
      <c r="J283" s="1" t="str">
        <f ca="1">IFERROR(__xludf.DUMMYFUNCTION("""COMPUTED_VALUE"""),"DB1")</f>
        <v>DB1</v>
      </c>
      <c r="K283" s="1" t="str">
        <f ca="1">IFERROR(__xludf.DUMMYFUNCTION("""COMPUTED_VALUE"""),"ems102601033")</f>
        <v>ems102601033</v>
      </c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ht="15.75" customHeight="1" x14ac:dyDescent="0.2">
      <c r="A284" s="8">
        <f ca="1">IFERROR(__xludf.DUMMYFUNCTION("""COMPUTED_VALUE"""),45267.4594535069)</f>
        <v>45267.459453506897</v>
      </c>
      <c r="B284" s="1" t="str">
        <f ca="1">IFERROR(__xludf.DUMMYFUNCTION("""COMPUTED_VALUE"""),"CEC")</f>
        <v>CEC</v>
      </c>
      <c r="C284" s="1" t="str">
        <f ca="1">IFERROR(__xludf.DUMMYFUNCTION("""COMPUTED_VALUE"""),"ej605323401th")</f>
        <v>ej605323401th</v>
      </c>
      <c r="D284" s="1" t="str">
        <f ca="1">IFERROR(__xludf.DUMMYFUNCTION("""COMPUTED_VALUE"""),"วริษฐ์")</f>
        <v>วริษฐ์</v>
      </c>
      <c r="E284" s="1" t="str">
        <f ca="1">IFERROR(__xludf.DUMMYFUNCTION("""COMPUTED_VALUE"""),"092-4659942")</f>
        <v>092-4659942</v>
      </c>
      <c r="F284" s="1" t="str">
        <f ca="1">IFERROR(__xludf.DUMMYFUNCTION("""COMPUTED_VALUE"""),"1270/22 ปากซอย.สาธิต64 ซ.101/1")</f>
        <v>1270/22 ปากซอย.สาธิต64 ซ.101/1</v>
      </c>
      <c r="G284" s="1" t="str">
        <f ca="1">IFERROR(__xludf.DUMMYFUNCTION("""COMPUTED_VALUE"""),"ตรวจสอบการนำจ่าย")</f>
        <v>ตรวจสอบการนำจ่าย</v>
      </c>
      <c r="H284" s="1" t="str">
        <f ca="1">IFERROR(__xludf.DUMMYFUNCTION("""COMPUTED_VALUE"""),"-")</f>
        <v>-</v>
      </c>
      <c r="I284" s="1" t="str">
        <f ca="1">IFERROR(__xludf.DUMMYFUNCTION("""COMPUTED_VALUE"""),"-")</f>
        <v>-</v>
      </c>
      <c r="J284" s="1" t="str">
        <f ca="1">IFERROR(__xludf.DUMMYFUNCTION("""COMPUTED_VALUE"""),"นำจ่ายรถยนต์")</f>
        <v>นำจ่ายรถยนต์</v>
      </c>
      <c r="K284" s="1" t="str">
        <f ca="1">IFERROR(__xludf.DUMMYFUNCTION("""COMPUTED_VALUE"""),"zne10260evd5002")</f>
        <v>zne10260evd5002</v>
      </c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ht="15.75" customHeight="1" x14ac:dyDescent="0.2">
      <c r="A285" s="8">
        <f ca="1">IFERROR(__xludf.DUMMYFUNCTION("""COMPUTED_VALUE"""),45267.4790701157)</f>
        <v>45267.479070115704</v>
      </c>
      <c r="B285" s="1" t="str">
        <f ca="1">IFERROR(__xludf.DUMMYFUNCTION("""COMPUTED_VALUE"""),"CEC")</f>
        <v>CEC</v>
      </c>
      <c r="C285" s="1" t="str">
        <f ca="1">IFERROR(__xludf.DUMMYFUNCTION("""COMPUTED_VALUE"""),"re595454802th")</f>
        <v>re595454802th</v>
      </c>
      <c r="D285" s="1" t="str">
        <f ca="1">IFERROR(__xludf.DUMMYFUNCTION("""COMPUTED_VALUE"""),"ธนากรณ์")</f>
        <v>ธนากรณ์</v>
      </c>
      <c r="E285" s="1" t="str">
        <f ca="1">IFERROR(__xludf.DUMMYFUNCTION("""COMPUTED_VALUE"""),"087-9644644")</f>
        <v>087-9644644</v>
      </c>
      <c r="F285" s="1" t="str">
        <f ca="1">IFERROR(__xludf.DUMMYFUNCTION("""COMPUTED_VALUE"""),"1/27 วังเพชรแมนชั่น ซ.ลาซาน50")</f>
        <v>1/27 วังเพชรแมนชั่น ซ.ลาซาน50</v>
      </c>
      <c r="G285" s="1" t="str">
        <f ca="1">IFERROR(__xludf.DUMMYFUNCTION("""COMPUTED_VALUE"""),"นำจ่ายใหม่")</f>
        <v>นำจ่ายใหม่</v>
      </c>
      <c r="H285" s="1" t="str">
        <f ca="1">IFERROR(__xludf.DUMMYFUNCTION("""COMPUTED_VALUE"""),"ออกใบแจ้ง")</f>
        <v>ออกใบแจ้ง</v>
      </c>
      <c r="I285" s="1" t="str">
        <f ca="1">IFERROR(__xludf.DUMMYFUNCTION("""COMPUTED_VALUE"""),"-")</f>
        <v>-</v>
      </c>
      <c r="J285" s="1" t="str">
        <f ca="1">IFERROR(__xludf.DUMMYFUNCTION("""COMPUTED_VALUE"""),"DB1")</f>
        <v>DB1</v>
      </c>
      <c r="K285" s="1" t="str">
        <f ca="1">IFERROR(__xludf.DUMMYFUNCTION("""COMPUTED_VALUE"""),"ems10260evd1012")</f>
        <v>ems10260evd1012</v>
      </c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ht="15.75" customHeight="1" x14ac:dyDescent="0.2">
      <c r="A286" s="8">
        <f ca="1">IFERROR(__xludf.DUMMYFUNCTION("""COMPUTED_VALUE"""),45267.4895335301)</f>
        <v>45267.489533530097</v>
      </c>
      <c r="B286" s="1" t="str">
        <f ca="1">IFERROR(__xludf.DUMMYFUNCTION("""COMPUTED_VALUE"""),"CEC")</f>
        <v>CEC</v>
      </c>
      <c r="C286" s="1" t="str">
        <f ca="1">IFERROR(__xludf.DUMMYFUNCTION("""COMPUTED_VALUE"""),"ri890344896th")</f>
        <v>ri890344896th</v>
      </c>
      <c r="D286" s="1" t="str">
        <f ca="1">IFERROR(__xludf.DUMMYFUNCTION("""COMPUTED_VALUE"""),"จุฑามาศ")</f>
        <v>จุฑามาศ</v>
      </c>
      <c r="E286" s="1" t="str">
        <f ca="1">IFERROR(__xludf.DUMMYFUNCTION("""COMPUTED_VALUE"""),"063-3017768")</f>
        <v>063-3017768</v>
      </c>
      <c r="F286" s="1" t="str">
        <f ca="1">IFERROR(__xludf.DUMMYFUNCTION("""COMPUTED_VALUE"""),"73 ซ.อุดมสุข 37 สุขุมวิท 103")</f>
        <v>73 ซ.อุดมสุข 37 สุขุมวิท 103</v>
      </c>
      <c r="G286" s="1" t="str">
        <f ca="1">IFERROR(__xludf.DUMMYFUNCTION("""COMPUTED_VALUE"""),"นำจ่ายใหม่")</f>
        <v>นำจ่ายใหม่</v>
      </c>
      <c r="H286" s="1" t="str">
        <f ca="1">IFERROR(__xludf.DUMMYFUNCTION("""COMPUTED_VALUE"""),"ออกใบแจ้ง")</f>
        <v>ออกใบแจ้ง</v>
      </c>
      <c r="I286" s="1" t="str">
        <f ca="1">IFERROR(__xludf.DUMMYFUNCTION("""COMPUTED_VALUE"""),"-")</f>
        <v>-</v>
      </c>
      <c r="J286" s="1" t="str">
        <f ca="1">IFERROR(__xludf.DUMMYFUNCTION("""COMPUTED_VALUE"""),"DB3")</f>
        <v>DB3</v>
      </c>
      <c r="K286" s="1" t="str">
        <f ca="1">IFERROR(__xludf.DUMMYFUNCTION("""COMPUTED_VALUE"""),"ems10260evd3039")</f>
        <v>ems10260evd3039</v>
      </c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ht="15.75" customHeight="1" x14ac:dyDescent="0.2">
      <c r="A287" s="8">
        <f ca="1">IFERROR(__xludf.DUMMYFUNCTION("""COMPUTED_VALUE"""),45267.490453287)</f>
        <v>45267.490453286999</v>
      </c>
      <c r="B287" s="1" t="str">
        <f ca="1">IFERROR(__xludf.DUMMYFUNCTION("""COMPUTED_VALUE"""),"CEC")</f>
        <v>CEC</v>
      </c>
      <c r="C287" s="1" t="str">
        <f ca="1">IFERROR(__xludf.DUMMYFUNCTION("""COMPUTED_VALUE"""),"ri890349425th")</f>
        <v>ri890349425th</v>
      </c>
      <c r="D287" s="1" t="str">
        <f ca="1">IFERROR(__xludf.DUMMYFUNCTION("""COMPUTED_VALUE"""),"จุฑามาศ")</f>
        <v>จุฑามาศ</v>
      </c>
      <c r="E287" s="1" t="str">
        <f ca="1">IFERROR(__xludf.DUMMYFUNCTION("""COMPUTED_VALUE"""),"063-3017768")</f>
        <v>063-3017768</v>
      </c>
      <c r="F287" s="1" t="str">
        <f ca="1">IFERROR(__xludf.DUMMYFUNCTION("""COMPUTED_VALUE"""),"73 ซ.อุดมสุข 37 สุขุมวิท 103")</f>
        <v>73 ซ.อุดมสุข 37 สุขุมวิท 103</v>
      </c>
      <c r="G287" s="1" t="str">
        <f ca="1">IFERROR(__xludf.DUMMYFUNCTION("""COMPUTED_VALUE"""),"นำจ่ายใหม่")</f>
        <v>นำจ่ายใหม่</v>
      </c>
      <c r="H287" s="1" t="str">
        <f ca="1">IFERROR(__xludf.DUMMYFUNCTION("""COMPUTED_VALUE"""),"ออกใบแจ้ง")</f>
        <v>ออกใบแจ้ง</v>
      </c>
      <c r="I287" s="1" t="str">
        <f ca="1">IFERROR(__xludf.DUMMYFUNCTION("""COMPUTED_VALUE"""),"-")</f>
        <v>-</v>
      </c>
      <c r="J287" s="1" t="str">
        <f ca="1">IFERROR(__xludf.DUMMYFUNCTION("""COMPUTED_VALUE"""),"DB3")</f>
        <v>DB3</v>
      </c>
      <c r="K287" s="1" t="str">
        <f ca="1">IFERROR(__xludf.DUMMYFUNCTION("""COMPUTED_VALUE"""),"ems10260evd3039")</f>
        <v>ems10260evd3039</v>
      </c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ht="15.75" customHeight="1" x14ac:dyDescent="0.2">
      <c r="A288" s="8">
        <f ca="1">IFERROR(__xludf.DUMMYFUNCTION("""COMPUTED_VALUE"""),45267.6227006713)</f>
        <v>45267.622700671302</v>
      </c>
      <c r="B288" s="1" t="str">
        <f ca="1">IFERROR(__xludf.DUMMYFUNCTION("""COMPUTED_VALUE"""),"CEC")</f>
        <v>CEC</v>
      </c>
      <c r="C288" s="1" t="str">
        <f ca="1">IFERROR(__xludf.DUMMYFUNCTION("""COMPUTED_VALUE"""),"ea903898953th")</f>
        <v>ea903898953th</v>
      </c>
      <c r="D288" s="1" t="str">
        <f ca="1">IFERROR(__xludf.DUMMYFUNCTION("""COMPUTED_VALUE"""),"กานต์ชนก ")</f>
        <v xml:space="preserve">กานต์ชนก </v>
      </c>
      <c r="E288" s="1" t="str">
        <f ca="1">IFERROR(__xludf.DUMMYFUNCTION("""COMPUTED_VALUE"""),"081-3574250")</f>
        <v>081-3574250</v>
      </c>
      <c r="F288" s="1" t="str">
        <f ca="1">IFERROR(__xludf.DUMMYFUNCTION("""COMPUTED_VALUE"""),"7 ซอย.กุศลศิลป์ สรรพาวุธ บางนา")</f>
        <v>7 ซอย.กุศลศิลป์ สรรพาวุธ บางนา</v>
      </c>
      <c r="G288" s="1" t="str">
        <f ca="1">IFERROR(__xludf.DUMMYFUNCTION("""COMPUTED_VALUE"""),"นำจ่ายใหม่")</f>
        <v>นำจ่ายใหม่</v>
      </c>
      <c r="H288" s="1" t="str">
        <f ca="1">IFERROR(__xludf.DUMMYFUNCTION("""COMPUTED_VALUE"""),"COD.1,110 บาท")</f>
        <v>COD.1,110 บาท</v>
      </c>
      <c r="I288" s="1" t="str">
        <f ca="1">IFERROR(__xludf.DUMMYFUNCTION("""COMPUTED_VALUE"""),"-")</f>
        <v>-</v>
      </c>
      <c r="J288" s="1" t="str">
        <f ca="1">IFERROR(__xludf.DUMMYFUNCTION("""COMPUTED_VALUE"""),"นำจ่ายรถยนต์")</f>
        <v>นำจ่ายรถยนต์</v>
      </c>
      <c r="K288" s="1" t="str">
        <f ca="1">IFERROR(__xludf.DUMMYFUNCTION("""COMPUTED_VALUE"""),"car10260evd5004")</f>
        <v>car10260evd5004</v>
      </c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ht="15.75" customHeight="1" x14ac:dyDescent="0.2">
      <c r="A289" s="8">
        <f ca="1">IFERROR(__xludf.DUMMYFUNCTION("""COMPUTED_VALUE"""),45267.6240323958)</f>
        <v>45267.624032395797</v>
      </c>
      <c r="B289" s="1" t="str">
        <f ca="1">IFERROR(__xludf.DUMMYFUNCTION("""COMPUTED_VALUE"""),"CEC")</f>
        <v>CEC</v>
      </c>
      <c r="C289" s="1" t="str">
        <f ca="1">IFERROR(__xludf.DUMMYFUNCTION("""COMPUTED_VALUE"""),"ed993068767th")</f>
        <v>ed993068767th</v>
      </c>
      <c r="D289" s="1" t="str">
        <f ca="1">IFERROR(__xludf.DUMMYFUNCTION("""COMPUTED_VALUE"""),"บารมี")</f>
        <v>บารมี</v>
      </c>
      <c r="E289" s="1" t="str">
        <f ca="1">IFERROR(__xludf.DUMMYFUNCTION("""COMPUTED_VALUE"""),"095-5977609")</f>
        <v>095-5977609</v>
      </c>
      <c r="F289" s="1" t="str">
        <f ca="1">IFERROR(__xludf.DUMMYFUNCTION("""COMPUTED_VALUE"""),"371/1  อพาร์ทเมน์ณรวีเพลส ซ.อุดมสุข30")</f>
        <v>371/1  อพาร์ทเมน์ณรวีเพลส ซ.อุดมสุข30</v>
      </c>
      <c r="G289" s="1" t="str">
        <f ca="1">IFERROR(__xludf.DUMMYFUNCTION("""COMPUTED_VALUE"""),"ตรวจสอบการนำจ่าย")</f>
        <v>ตรวจสอบการนำจ่าย</v>
      </c>
      <c r="H289" s="1" t="str">
        <f ca="1">IFERROR(__xludf.DUMMYFUNCTION("""COMPUTED_VALUE"""),"-")</f>
        <v>-</v>
      </c>
      <c r="I289" s="1" t="str">
        <f ca="1">IFERROR(__xludf.DUMMYFUNCTION("""COMPUTED_VALUE"""),"-")</f>
        <v>-</v>
      </c>
      <c r="J289" s="1" t="str">
        <f ca="1">IFERROR(__xludf.DUMMYFUNCTION("""COMPUTED_VALUE"""),"DB2")</f>
        <v>DB2</v>
      </c>
      <c r="K289" s="1" t="str">
        <f ca="1">IFERROR(__xludf.DUMMYFUNCTION("""COMPUTED_VALUE"""),"ems10260evd2016")</f>
        <v>ems10260evd2016</v>
      </c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ht="15.75" customHeight="1" x14ac:dyDescent="0.2">
      <c r="A290" s="8">
        <f ca="1">IFERROR(__xludf.DUMMYFUNCTION("""COMPUTED_VALUE"""),45267.6261107291)</f>
        <v>45267.626110729099</v>
      </c>
      <c r="B290" s="1" t="str">
        <f ca="1">IFERROR(__xludf.DUMMYFUNCTION("""COMPUTED_VALUE"""),"CEC")</f>
        <v>CEC</v>
      </c>
      <c r="C290" s="1" t="str">
        <f ca="1">IFERROR(__xludf.DUMMYFUNCTION("""COMPUTED_VALUE"""),"ed885197585th")</f>
        <v>ed885197585th</v>
      </c>
      <c r="D290" s="1" t="str">
        <f ca="1">IFERROR(__xludf.DUMMYFUNCTION("""COMPUTED_VALUE"""),"กล์อฟ")</f>
        <v>กล์อฟ</v>
      </c>
      <c r="E290" s="1" t="str">
        <f ca="1">IFERROR(__xludf.DUMMYFUNCTION("""COMPUTED_VALUE"""),"095-7973468")</f>
        <v>095-7973468</v>
      </c>
      <c r="F290" s="1" t="str">
        <f ca="1">IFERROR(__xludf.DUMMYFUNCTION("""COMPUTED_VALUE"""),"46 ซอย.ปุณณวิถี 27 สุขุมวิท101")</f>
        <v>46 ซอย.ปุณณวิถี 27 สุขุมวิท101</v>
      </c>
      <c r="G290" s="1" t="str">
        <f ca="1">IFERROR(__xludf.DUMMYFUNCTION("""COMPUTED_VALUE"""),"ตรวจสอบการนำจ่าย")</f>
        <v>ตรวจสอบการนำจ่าย</v>
      </c>
      <c r="H290" s="1" t="str">
        <f ca="1">IFERROR(__xludf.DUMMYFUNCTION("""COMPUTED_VALUE"""),"-")</f>
        <v>-</v>
      </c>
      <c r="I290" s="1" t="str">
        <f ca="1">IFERROR(__xludf.DUMMYFUNCTION("""COMPUTED_VALUE"""),"-")</f>
        <v>-</v>
      </c>
      <c r="J290" s="1" t="str">
        <f ca="1">IFERROR(__xludf.DUMMYFUNCTION("""COMPUTED_VALUE"""),"DB3")</f>
        <v>DB3</v>
      </c>
      <c r="K290" s="1" t="str">
        <f ca="1">IFERROR(__xludf.DUMMYFUNCTION("""COMPUTED_VALUE"""),"ems10260evd3015")</f>
        <v>ems10260evd3015</v>
      </c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ht="15.75" customHeight="1" x14ac:dyDescent="0.2">
      <c r="A291" s="8">
        <f ca="1">IFERROR(__xludf.DUMMYFUNCTION("""COMPUTED_VALUE"""),45267.6309277546)</f>
        <v>45267.630927754602</v>
      </c>
      <c r="B291" s="1" t="str">
        <f ca="1">IFERROR(__xludf.DUMMYFUNCTION("""COMPUTED_VALUE"""),"On Queue")</f>
        <v>On Queue</v>
      </c>
      <c r="C291" s="1" t="str">
        <f ca="1">IFERROR(__xludf.DUMMYFUNCTION("""COMPUTED_VALUE"""),"eb528146239th")</f>
        <v>eb528146239th</v>
      </c>
      <c r="D291" s="1" t="str">
        <f ca="1">IFERROR(__xludf.DUMMYFUNCTION("""COMPUTED_VALUE"""),"ประภาส")</f>
        <v>ประภาส</v>
      </c>
      <c r="E291" s="1" t="str">
        <f ca="1">IFERROR(__xludf.DUMMYFUNCTION("""COMPUTED_VALUE"""),"098-0740970")</f>
        <v>098-0740970</v>
      </c>
      <c r="F291" s="1" t="str">
        <f ca="1">IFERROR(__xludf.DUMMYFUNCTION("""COMPUTED_VALUE"""),"744 ซอย.ลาซาน ติดโรงเรียนลาซาน ซ.105")</f>
        <v>744 ซอย.ลาซาน ติดโรงเรียนลาซาน ซ.105</v>
      </c>
      <c r="G291" s="1" t="str">
        <f ca="1">IFERROR(__xludf.DUMMYFUNCTION("""COMPUTED_VALUE"""),"ตรวจสอบการนำจ่าย")</f>
        <v>ตรวจสอบการนำจ่าย</v>
      </c>
      <c r="H291" s="1" t="str">
        <f ca="1">IFERROR(__xludf.DUMMYFUNCTION("""COMPUTED_VALUE"""),"-")</f>
        <v>-</v>
      </c>
      <c r="I291" s="1" t="str">
        <f ca="1">IFERROR(__xludf.DUMMYFUNCTION("""COMPUTED_VALUE"""),"-")</f>
        <v>-</v>
      </c>
      <c r="J291" s="1" t="str">
        <f ca="1">IFERROR(__xludf.DUMMYFUNCTION("""COMPUTED_VALUE"""),"นำจ่ายรถยนต์")</f>
        <v>นำจ่ายรถยนต์</v>
      </c>
      <c r="K291" s="1" t="str">
        <f ca="1">IFERROR(__xludf.DUMMYFUNCTION("""COMPUTED_VALUE"""),"car10260evd5006")</f>
        <v>car10260evd5006</v>
      </c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ht="15.75" customHeight="1" x14ac:dyDescent="0.2">
      <c r="A292" s="8">
        <f ca="1">IFERROR(__xludf.DUMMYFUNCTION("""COMPUTED_VALUE"""),45267.6329169097)</f>
        <v>45267.632916909701</v>
      </c>
      <c r="B292" s="1" t="str">
        <f ca="1">IFERROR(__xludf.DUMMYFUNCTION("""COMPUTED_VALUE"""),"CEC")</f>
        <v>CEC</v>
      </c>
      <c r="C292" s="1" t="str">
        <f ca="1">IFERROR(__xludf.DUMMYFUNCTION("""COMPUTED_VALUE"""),"ed956422485th")</f>
        <v>ed956422485th</v>
      </c>
      <c r="D292" s="1" t="str">
        <f ca="1">IFERROR(__xludf.DUMMYFUNCTION("""COMPUTED_VALUE"""),"สมหมาย")</f>
        <v>สมหมาย</v>
      </c>
      <c r="E292" s="1" t="str">
        <f ca="1">IFERROR(__xludf.DUMMYFUNCTION("""COMPUTED_VALUE"""),"063-6261252")</f>
        <v>063-6261252</v>
      </c>
      <c r="F292" s="1" t="str">
        <f ca="1">IFERROR(__xludf.DUMMYFUNCTION("""COMPUTED_VALUE"""),"40 ปากซอย.วชิรธรรม 6 สุขุมวิท101/1")</f>
        <v>40 ปากซอย.วชิรธรรม 6 สุขุมวิท101/1</v>
      </c>
      <c r="G292" s="1" t="str">
        <f ca="1">IFERROR(__xludf.DUMMYFUNCTION("""COMPUTED_VALUE"""),"ตรวจสอบการนำจ่าย")</f>
        <v>ตรวจสอบการนำจ่าย</v>
      </c>
      <c r="H292" s="1" t="str">
        <f ca="1">IFERROR(__xludf.DUMMYFUNCTION("""COMPUTED_VALUE"""),"รอจ่าย ปณศ.บางนา")</f>
        <v>รอจ่าย ปณศ.บางนา</v>
      </c>
      <c r="I292" s="1" t="str">
        <f ca="1">IFERROR(__xludf.DUMMYFUNCTION("""COMPUTED_VALUE"""),"-")</f>
        <v>-</v>
      </c>
      <c r="J292" s="1" t="str">
        <f ca="1">IFERROR(__xludf.DUMMYFUNCTION("""COMPUTED_VALUE"""),"DB1")</f>
        <v>DB1</v>
      </c>
      <c r="K292" s="1" t="str">
        <f ca="1">IFERROR(__xludf.DUMMYFUNCTION("""COMPUTED_VALUE"""),"box10260evd0001")</f>
        <v>box10260evd0001</v>
      </c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ht="15.75" customHeight="1" x14ac:dyDescent="0.2">
      <c r="A293" s="8">
        <f ca="1">IFERROR(__xludf.DUMMYFUNCTION("""COMPUTED_VALUE"""),45269.4790950462)</f>
        <v>45269.479095046197</v>
      </c>
      <c r="B293" s="1" t="str">
        <f ca="1">IFERROR(__xludf.DUMMYFUNCTION("""COMPUTED_VALUE"""),"CEC")</f>
        <v>CEC</v>
      </c>
      <c r="C293" s="1" t="str">
        <f ca="1">IFERROR(__xludf.DUMMYFUNCTION("""COMPUTED_VALUE"""),"ri897180755th")</f>
        <v>ri897180755th</v>
      </c>
      <c r="D293" s="1" t="str">
        <f ca="1">IFERROR(__xludf.DUMMYFUNCTION("""COMPUTED_VALUE"""),"มนัสนันท์")</f>
        <v>มนัสนันท์</v>
      </c>
      <c r="E293" s="1" t="str">
        <f ca="1">IFERROR(__xludf.DUMMYFUNCTION("""COMPUTED_VALUE"""),"0888925787")</f>
        <v>0888925787</v>
      </c>
      <c r="F293" s="1" t="str">
        <f ca="1">IFERROR(__xludf.DUMMYFUNCTION("""COMPUTED_VALUE"""),"1308 หมู่บ้านไพโรจน์")</f>
        <v>1308 หมู่บ้านไพโรจน์</v>
      </c>
      <c r="G293" s="1" t="str">
        <f ca="1">IFERROR(__xludf.DUMMYFUNCTION("""COMPUTED_VALUE"""),"นำจ่ายใหม่")</f>
        <v>นำจ่ายใหม่</v>
      </c>
      <c r="H293" s="1" t="str">
        <f ca="1">IFERROR(__xludf.DUMMYFUNCTION("""COMPUTED_VALUE"""),"บ้านปปิด")</f>
        <v>บ้านปปิด</v>
      </c>
      <c r="I293" s="1" t="str">
        <f ca="1">IFERROR(__xludf.DUMMYFUNCTION("""COMPUTED_VALUE"""),"แจ้งเจ้าหน้าที่นำจ่ายแล้วแล้ว")</f>
        <v>แจ้งเจ้าหน้าที่นำจ่ายแล้วแล้ว</v>
      </c>
      <c r="J293" s="1" t="str">
        <f ca="1">IFERROR(__xludf.DUMMYFUNCTION("""COMPUTED_VALUE"""),"DB2")</f>
        <v>DB2</v>
      </c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ht="15.75" customHeight="1" x14ac:dyDescent="0.2">
      <c r="A294" s="8">
        <f ca="1">IFERROR(__xludf.DUMMYFUNCTION("""COMPUTED_VALUE"""),45269.4804776157)</f>
        <v>45269.480477615703</v>
      </c>
      <c r="B294" s="1" t="str">
        <f ca="1">IFERROR(__xludf.DUMMYFUNCTION("""COMPUTED_VALUE"""),"CEC")</f>
        <v>CEC</v>
      </c>
      <c r="C294" s="1" t="str">
        <f ca="1">IFERROR(__xludf.DUMMYFUNCTION("""COMPUTED_VALUE"""),"em364807464th")</f>
        <v>em364807464th</v>
      </c>
      <c r="D294" s="1" t="str">
        <f ca="1">IFERROR(__xludf.DUMMYFUNCTION("""COMPUTED_VALUE"""),"ยุพาภรณ์ ")</f>
        <v xml:space="preserve">ยุพาภรณ์ </v>
      </c>
      <c r="E294" s="1" t="str">
        <f ca="1">IFERROR(__xludf.DUMMYFUNCTION("""COMPUTED_VALUE"""),"0847512733")</f>
        <v>0847512733</v>
      </c>
      <c r="F294" s="1" t="str">
        <f ca="1">IFERROR(__xludf.DUMMYFUNCTION("""COMPUTED_VALUE"""),"63 ลาซาล 6")</f>
        <v>63 ลาซาล 6</v>
      </c>
      <c r="G294" s="1" t="str">
        <f ca="1">IFERROR(__xludf.DUMMYFUNCTION("""COMPUTED_VALUE"""),"ตรวจสอบการนำจ่าย")</f>
        <v>ตรวจสอบการนำจ่าย</v>
      </c>
      <c r="H294" s="1" t="str">
        <f ca="1">IFERROR(__xludf.DUMMYFUNCTION("""COMPUTED_VALUE"""),"แจ้งจุดนำจ่าย")</f>
        <v>แจ้งจุดนำจ่าย</v>
      </c>
      <c r="I294" s="1" t="str">
        <f ca="1">IFERROR(__xludf.DUMMYFUNCTION("""COMPUTED_VALUE"""),"แจ้งเจ้าหน้าที่นำจ่ายแล้ว")</f>
        <v>แจ้งเจ้าหน้าที่นำจ่ายแล้ว</v>
      </c>
      <c r="J294" s="1" t="str">
        <f ca="1">IFERROR(__xludf.DUMMYFUNCTION("""COMPUTED_VALUE"""),"DB1")</f>
        <v>DB1</v>
      </c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ht="15.75" customHeight="1" x14ac:dyDescent="0.2">
      <c r="A295" s="8">
        <f ca="1">IFERROR(__xludf.DUMMYFUNCTION("""COMPUTED_VALUE"""),45269.4822278472)</f>
        <v>45269.482227847198</v>
      </c>
      <c r="B295" s="1" t="str">
        <f ca="1">IFERROR(__xludf.DUMMYFUNCTION("""COMPUTED_VALUE"""),"CEC")</f>
        <v>CEC</v>
      </c>
      <c r="C295" s="1" t="str">
        <f ca="1">IFERROR(__xludf.DUMMYFUNCTION("""COMPUTED_VALUE"""),"en506772050th")</f>
        <v>en506772050th</v>
      </c>
      <c r="D295" s="1" t="str">
        <f ca="1">IFERROR(__xludf.DUMMYFUNCTION("""COMPUTED_VALUE"""),"ยุพาภรณ์")</f>
        <v>ยุพาภรณ์</v>
      </c>
      <c r="E295" s="1" t="str">
        <f ca="1">IFERROR(__xludf.DUMMYFUNCTION("""COMPUTED_VALUE"""),"0838013585")</f>
        <v>0838013585</v>
      </c>
      <c r="F295" s="1" t="str">
        <f ca="1">IFERROR(__xludf.DUMMYFUNCTION("""COMPUTED_VALUE"""),"101 ซ.ปิยยุช 2")</f>
        <v>101 ซ.ปิยยุช 2</v>
      </c>
      <c r="G295" s="1" t="str">
        <f ca="1">IFERROR(__xludf.DUMMYFUNCTION("""COMPUTED_VALUE"""),"นำจ่ายใหม่")</f>
        <v>นำจ่ายใหม่</v>
      </c>
      <c r="H295" s="1" t="str">
        <f ca="1">IFERROR(__xludf.DUMMYFUNCTION("""COMPUTED_VALUE"""),"นำจ่ายใหม่")</f>
        <v>นำจ่ายใหม่</v>
      </c>
      <c r="I295" s="1" t="str">
        <f ca="1">IFERROR(__xludf.DUMMYFUNCTION("""COMPUTED_VALUE"""),"แจ้งเจ้าหน้านำจ่ายแล้ว")</f>
        <v>แจ้งเจ้าหน้านำจ่ายแล้ว</v>
      </c>
      <c r="J295" s="1" t="str">
        <f ca="1">IFERROR(__xludf.DUMMYFUNCTION("""COMPUTED_VALUE"""),"DB3")</f>
        <v>DB3</v>
      </c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 ht="15.75" customHeight="1" x14ac:dyDescent="0.2">
      <c r="A296" s="8">
        <f ca="1">IFERROR(__xludf.DUMMYFUNCTION("""COMPUTED_VALUE"""),45269.487795324)</f>
        <v>45269.487795323999</v>
      </c>
      <c r="B296" s="1" t="str">
        <f ca="1">IFERROR(__xludf.DUMMYFUNCTION("""COMPUTED_VALUE"""),"CEC")</f>
        <v>CEC</v>
      </c>
      <c r="C296" s="1" t="str">
        <f ca="1">IFERROR(__xludf.DUMMYFUNCTION("""COMPUTED_VALUE"""),"en506772050th")</f>
        <v>en506772050th</v>
      </c>
      <c r="D296" s="1" t="str">
        <f ca="1">IFERROR(__xludf.DUMMYFUNCTION("""COMPUTED_VALUE"""),"ยุพาภรณ์")</f>
        <v>ยุพาภรณ์</v>
      </c>
      <c r="E296" s="1" t="str">
        <f ca="1">IFERROR(__xludf.DUMMYFUNCTION("""COMPUTED_VALUE"""),"0838013585")</f>
        <v>0838013585</v>
      </c>
      <c r="F296" s="1" t="str">
        <f ca="1">IFERROR(__xludf.DUMMYFUNCTION("""COMPUTED_VALUE"""),"101 ซ.  ปิยะบุช 2 ")</f>
        <v xml:space="preserve">101 ซ.  ปิยะบุช 2 </v>
      </c>
      <c r="G296" s="1" t="str">
        <f ca="1">IFERROR(__xludf.DUMMYFUNCTION("""COMPUTED_VALUE"""),"นำจ่ายใหม่")</f>
        <v>นำจ่ายใหม่</v>
      </c>
      <c r="H296" s="1" t="str">
        <f ca="1">IFERROR(__xludf.DUMMYFUNCTION("""COMPUTED_VALUE"""),"ติดต่อผู้รับไม่ได้")</f>
        <v>ติดต่อผู้รับไม่ได้</v>
      </c>
      <c r="I296" s="1" t="str">
        <f ca="1">IFERROR(__xludf.DUMMYFUNCTION("""COMPUTED_VALUE"""),"แจ้งเจ้าหน้าที่นำจ่ายใหม่แล้ว")</f>
        <v>แจ้งเจ้าหน้าที่นำจ่ายใหม่แล้ว</v>
      </c>
      <c r="J296" s="1" t="str">
        <f ca="1">IFERROR(__xludf.DUMMYFUNCTION("""COMPUTED_VALUE"""),"DB3")</f>
        <v>DB3</v>
      </c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 ht="15.75" customHeight="1" x14ac:dyDescent="0.2">
      <c r="A297" s="8">
        <f ca="1">IFERROR(__xludf.DUMMYFUNCTION("""COMPUTED_VALUE"""),45269.4900720254)</f>
        <v>45269.490072025401</v>
      </c>
      <c r="B297" s="1" t="str">
        <f ca="1">IFERROR(__xludf.DUMMYFUNCTION("""COMPUTED_VALUE"""),"CEC")</f>
        <v>CEC</v>
      </c>
      <c r="C297" s="1" t="str">
        <f ca="1">IFERROR(__xludf.DUMMYFUNCTION("""COMPUTED_VALUE"""),"ed096433819th- ed096433822th")</f>
        <v>ed096433819th- ed096433822th</v>
      </c>
      <c r="D297" s="1" t="str">
        <f ca="1">IFERROR(__xludf.DUMMYFUNCTION("""COMPUTED_VALUE"""),"บ.app (อาคารaia) 989")</f>
        <v>บ.app (อาคารaia) 989</v>
      </c>
      <c r="E297" s="1" t="str">
        <f ca="1">IFERROR(__xludf.DUMMYFUNCTION("""COMPUTED_VALUE"""),"0650965915")</f>
        <v>0650965915</v>
      </c>
      <c r="F297" s="1" t="str">
        <f ca="1">IFERROR(__xludf.DUMMYFUNCTION("""COMPUTED_VALUE"""),"989อาคาร AIA")</f>
        <v>989อาคาร AIA</v>
      </c>
      <c r="G297" s="1" t="str">
        <f ca="1">IFERROR(__xludf.DUMMYFUNCTION("""COMPUTED_VALUE"""),"นำจ่ายใหม่")</f>
        <v>นำจ่ายใหม่</v>
      </c>
      <c r="H297" s="1" t="str">
        <f ca="1">IFERROR(__xludf.DUMMYFUNCTION("""COMPUTED_VALUE"""),"ติดต่อผู้รับไม่ได้")</f>
        <v>ติดต่อผู้รับไม่ได้</v>
      </c>
      <c r="I297" s="1" t="str">
        <f ca="1">IFERROR(__xludf.DUMMYFUNCTION("""COMPUTED_VALUE"""),"แจ้งเจ้าหน้าที่นำจ่ายแล้ว")</f>
        <v>แจ้งเจ้าหน้าที่นำจ่ายแล้ว</v>
      </c>
      <c r="J297" s="1" t="str">
        <f ca="1">IFERROR(__xludf.DUMMYFUNCTION("""COMPUTED_VALUE"""),"DB2")</f>
        <v>DB2</v>
      </c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 ht="15.75" customHeight="1" x14ac:dyDescent="0.2">
      <c r="A298" s="8">
        <f ca="1">IFERROR(__xludf.DUMMYFUNCTION("""COMPUTED_VALUE"""),45269.6077741898)</f>
        <v>45269.607774189797</v>
      </c>
      <c r="B298" s="1" t="str">
        <f ca="1">IFERROR(__xludf.DUMMYFUNCTION("""COMPUTED_VALUE"""),"CEC")</f>
        <v>CEC</v>
      </c>
      <c r="C298" s="1" t="str">
        <f ca="1">IFERROR(__xludf.DUMMYFUNCTION("""COMPUTED_VALUE"""),"ry972550024th")</f>
        <v>ry972550024th</v>
      </c>
      <c r="D298" s="1" t="str">
        <f ca="1">IFERROR(__xludf.DUMMYFUNCTION("""COMPUTED_VALUE"""),"ภานุวัฒน์")</f>
        <v>ภานุวัฒน์</v>
      </c>
      <c r="E298" s="1" t="str">
        <f ca="1">IFERROR(__xludf.DUMMYFUNCTION("""COMPUTED_VALUE"""),"0647535982")</f>
        <v>0647535982</v>
      </c>
      <c r="F298" s="1" t="str">
        <f ca="1">IFERROR(__xludf.DUMMYFUNCTION("""COMPUTED_VALUE"""),"773  ซ. อุดมสุข30 ")</f>
        <v xml:space="preserve">773  ซ. อุดมสุข30 </v>
      </c>
      <c r="G298" s="1" t="str">
        <f ca="1">IFERROR(__xludf.DUMMYFUNCTION("""COMPUTED_VALUE"""),"นำจ่ายใหม่")</f>
        <v>นำจ่ายใหม่</v>
      </c>
      <c r="H298" s="1" t="str">
        <f ca="1">IFERROR(__xludf.DUMMYFUNCTION("""COMPUTED_VALUE"""),"ออกใบแจ้ง")</f>
        <v>ออกใบแจ้ง</v>
      </c>
      <c r="I298" s="1" t="str">
        <f ca="1">IFERROR(__xludf.DUMMYFUNCTION("""COMPUTED_VALUE"""),"แจ้งเจ้หน้าที่นำจ่ายนำจ่ายใหม่แล้ว")</f>
        <v>แจ้งเจ้หน้าที่นำจ่ายนำจ่ายใหม่แล้ว</v>
      </c>
      <c r="J298" s="1" t="str">
        <f ca="1">IFERROR(__xludf.DUMMYFUNCTION("""COMPUTED_VALUE"""),"DB2")</f>
        <v>DB2</v>
      </c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ht="15.75" customHeight="1" x14ac:dyDescent="0.2">
      <c r="A299" s="8">
        <f ca="1">IFERROR(__xludf.DUMMYFUNCTION("""COMPUTED_VALUE"""),45271.4681447685)</f>
        <v>45271.4681447685</v>
      </c>
      <c r="B299" s="1" t="str">
        <f ca="1">IFERROR(__xludf.DUMMYFUNCTION("""COMPUTED_VALUE"""),"CEC")</f>
        <v>CEC</v>
      </c>
      <c r="C299" s="1" t="str">
        <f ca="1">IFERROR(__xludf.DUMMYFUNCTION("""COMPUTED_VALUE"""),"eb954846021th")</f>
        <v>eb954846021th</v>
      </c>
      <c r="D299" s="1" t="str">
        <f ca="1">IFERROR(__xludf.DUMMYFUNCTION("""COMPUTED_VALUE"""),"พรทิพย์")</f>
        <v>พรทิพย์</v>
      </c>
      <c r="E299" s="1" t="str">
        <f ca="1">IFERROR(__xludf.DUMMYFUNCTION("""COMPUTED_VALUE"""),"0909459090")</f>
        <v>0909459090</v>
      </c>
      <c r="F299" s="1" t="str">
        <f ca="1">IFERROR(__xludf.DUMMYFUNCTION("""COMPUTED_VALUE"""),"4/55  ลาซาล 46")</f>
        <v>4/55  ลาซาล 46</v>
      </c>
      <c r="G299" s="1" t="str">
        <f ca="1">IFERROR(__xludf.DUMMYFUNCTION("""COMPUTED_VALUE"""),"นำจ่ายใหม่")</f>
        <v>นำจ่ายใหม่</v>
      </c>
      <c r="H299" s="1" t="str">
        <f ca="1">IFERROR(__xludf.DUMMYFUNCTION("""COMPUTED_VALUE"""),"บ้านปิด")</f>
        <v>บ้านปิด</v>
      </c>
      <c r="I299" s="1" t="str">
        <f ca="1">IFERROR(__xludf.DUMMYFUNCTION("""COMPUTED_VALUE"""),"แจ้งเจ้าหน้าที่นำจ่ายแล้ว")</f>
        <v>แจ้งเจ้าหน้าที่นำจ่ายแล้ว</v>
      </c>
      <c r="J299" s="1" t="str">
        <f ca="1">IFERROR(__xludf.DUMMYFUNCTION("""COMPUTED_VALUE"""),"DB1")</f>
        <v>DB1</v>
      </c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 ht="15.75" customHeight="1" x14ac:dyDescent="0.2">
      <c r="A300" s="8">
        <f ca="1">IFERROR(__xludf.DUMMYFUNCTION("""COMPUTED_VALUE"""),45271.4693484375)</f>
        <v>45271.469348437502</v>
      </c>
      <c r="B300" s="1" t="str">
        <f ca="1">IFERROR(__xludf.DUMMYFUNCTION("""COMPUTED_VALUE"""),"CEC")</f>
        <v>CEC</v>
      </c>
      <c r="C300" s="1" t="str">
        <f ca="1">IFERROR(__xludf.DUMMYFUNCTION("""COMPUTED_VALUE"""),"ed841072865th")</f>
        <v>ed841072865th</v>
      </c>
      <c r="D300" s="1" t="str">
        <f ca="1">IFERROR(__xludf.DUMMYFUNCTION("""COMPUTED_VALUE"""),"ธัญญ์ภัส")</f>
        <v>ธัญญ์ภัส</v>
      </c>
      <c r="E300" s="1" t="str">
        <f ca="1">IFERROR(__xludf.DUMMYFUNCTION("""COMPUTED_VALUE"""),"0823994891")</f>
        <v>0823994891</v>
      </c>
      <c r="F300" s="1" t="str">
        <f ca="1">IFERROR(__xludf.DUMMYFUNCTION("""COMPUTED_VALUE"""),"976  ศิครินทร์")</f>
        <v>976  ศิครินทร์</v>
      </c>
      <c r="G300" s="1" t="str">
        <f ca="1">IFERROR(__xludf.DUMMYFUNCTION("""COMPUTED_VALUE"""),"นำจ่ายใหม่")</f>
        <v>นำจ่ายใหม่</v>
      </c>
      <c r="H300" s="1" t="str">
        <f ca="1">IFERROR(__xludf.DUMMYFUNCTION("""COMPUTED_VALUE"""),"ปิด")</f>
        <v>ปิด</v>
      </c>
      <c r="I300" s="1" t="str">
        <f ca="1">IFERROR(__xludf.DUMMYFUNCTION("""COMPUTED_VALUE"""),"แจ้งเจ้าหน้าที่นำจ่ายแล้ว")</f>
        <v>แจ้งเจ้าหน้าที่นำจ่ายแล้ว</v>
      </c>
      <c r="J300" s="1" t="str">
        <f ca="1">IFERROR(__xludf.DUMMYFUNCTION("""COMPUTED_VALUE"""),"DB1")</f>
        <v>DB1</v>
      </c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 ht="15.75" customHeight="1" x14ac:dyDescent="0.2">
      <c r="A301" s="8">
        <f ca="1">IFERROR(__xludf.DUMMYFUNCTION("""COMPUTED_VALUE"""),45271.5105698842)</f>
        <v>45271.510569884202</v>
      </c>
      <c r="B301" s="1" t="str">
        <f ca="1">IFERROR(__xludf.DUMMYFUNCTION("""COMPUTED_VALUE"""),"CEC")</f>
        <v>CEC</v>
      </c>
      <c r="C301" s="1" t="str">
        <f ca="1">IFERROR(__xludf.DUMMYFUNCTION("""COMPUTED_VALUE"""),"ed055707867th")</f>
        <v>ed055707867th</v>
      </c>
      <c r="D301" s="1" t="str">
        <f ca="1">IFERROR(__xludf.DUMMYFUNCTION("""COMPUTED_VALUE"""),"ภานุวัฒน์")</f>
        <v>ภานุวัฒน์</v>
      </c>
      <c r="E301" s="1" t="str">
        <f ca="1">IFERROR(__xludf.DUMMYFUNCTION("""COMPUTED_VALUE"""),"0909194647")</f>
        <v>0909194647</v>
      </c>
      <c r="F301" s="1" t="str">
        <f ca="1">IFERROR(__xludf.DUMMYFUNCTION("""COMPUTED_VALUE"""),"977/54")</f>
        <v>977/54</v>
      </c>
      <c r="G301" s="1" t="str">
        <f ca="1">IFERROR(__xludf.DUMMYFUNCTION("""COMPUTED_VALUE"""),"นำจ่ายใหม่")</f>
        <v>นำจ่ายใหม่</v>
      </c>
      <c r="H301" s="1" t="str">
        <f ca="1">IFERROR(__xludf.DUMMYFUNCTION("""COMPUTED_VALUE"""),"ติดต่อผู้รับไม่ได้")</f>
        <v>ติดต่อผู้รับไม่ได้</v>
      </c>
      <c r="I301" s="1" t="str">
        <f ca="1">IFERROR(__xludf.DUMMYFUNCTION("""COMPUTED_VALUE"""),"แจ้งเจัาหน้าที่นำจ่ายแล้ว")</f>
        <v>แจ้งเจัาหน้าที่นำจ่ายแล้ว</v>
      </c>
      <c r="J301" s="1" t="str">
        <f ca="1">IFERROR(__xludf.DUMMYFUNCTION("""COMPUTED_VALUE"""),"DB2")</f>
        <v>DB2</v>
      </c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 ht="15.75" customHeight="1" x14ac:dyDescent="0.2">
      <c r="A302" s="8">
        <f ca="1">IFERROR(__xludf.DUMMYFUNCTION("""COMPUTED_VALUE"""),45272.4644957407)</f>
        <v>45272.4644957407</v>
      </c>
      <c r="B302" s="1" t="str">
        <f ca="1">IFERROR(__xludf.DUMMYFUNCTION("""COMPUTED_VALUE"""),"CEC")</f>
        <v>CEC</v>
      </c>
      <c r="C302" s="1" t="str">
        <f ca="1">IFERROR(__xludf.DUMMYFUNCTION("""COMPUTED_VALUE"""),"ed088019667th")</f>
        <v>ed088019667th</v>
      </c>
      <c r="D302" s="1" t="str">
        <f ca="1">IFERROR(__xludf.DUMMYFUNCTION("""COMPUTED_VALUE"""),"thamasorn")</f>
        <v>thamasorn</v>
      </c>
      <c r="E302" s="1" t="str">
        <f ca="1">IFERROR(__xludf.DUMMYFUNCTION("""COMPUTED_VALUE"""),"0922695248")</f>
        <v>0922695248</v>
      </c>
      <c r="F302" s="1" t="str">
        <f ca="1">IFERROR(__xludf.DUMMYFUNCTION("""COMPUTED_VALUE"""),"603 ลาซาล35")</f>
        <v>603 ลาซาล35</v>
      </c>
      <c r="G302" s="1" t="str">
        <f ca="1">IFERROR(__xludf.DUMMYFUNCTION("""COMPUTED_VALUE"""),"นำจ่ายใหม่")</f>
        <v>นำจ่ายใหม่</v>
      </c>
      <c r="H302" s="1" t="str">
        <f ca="1">IFERROR(__xludf.DUMMYFUNCTION("""COMPUTED_VALUE"""),"บ้านปิด")</f>
        <v>บ้านปิด</v>
      </c>
      <c r="I302" s="1" t="str">
        <f ca="1">IFERROR(__xludf.DUMMYFUNCTION("""COMPUTED_VALUE"""),"แจ้งเจ้าหน้าที่นำจ่ายแล้วครับ")</f>
        <v>แจ้งเจ้าหน้าที่นำจ่ายแล้วครับ</v>
      </c>
      <c r="J302" s="1" t="str">
        <f ca="1">IFERROR(__xludf.DUMMYFUNCTION("""COMPUTED_VALUE"""),"DB1")</f>
        <v>DB1</v>
      </c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 ht="15.75" customHeight="1" x14ac:dyDescent="0.2">
      <c r="A303" s="8">
        <f ca="1">IFERROR(__xludf.DUMMYFUNCTION("""COMPUTED_VALUE"""),45272.4661483449)</f>
        <v>45272.466148344902</v>
      </c>
      <c r="B303" s="1" t="str">
        <f ca="1">IFERROR(__xludf.DUMMYFUNCTION("""COMPUTED_VALUE"""),"CEC")</f>
        <v>CEC</v>
      </c>
      <c r="C303" s="1" t="str">
        <f ca="1">IFERROR(__xludf.DUMMYFUNCTION("""COMPUTED_VALUE"""),"eb299415899th")</f>
        <v>eb299415899th</v>
      </c>
      <c r="D303" s="1" t="str">
        <f ca="1">IFERROR(__xludf.DUMMYFUNCTION("""COMPUTED_VALUE"""),"ศริโสภา")</f>
        <v>ศริโสภา</v>
      </c>
      <c r="E303" s="1" t="str">
        <f ca="1">IFERROR(__xludf.DUMMYFUNCTION("""COMPUTED_VALUE"""),"0818234182")</f>
        <v>0818234182</v>
      </c>
      <c r="F303" s="1" t="str">
        <f ca="1">IFERROR(__xludf.DUMMYFUNCTION("""COMPUTED_VALUE"""),"262/1 ซ97/1")</f>
        <v>262/1 ซ97/1</v>
      </c>
      <c r="G303" s="1" t="str">
        <f ca="1">IFERROR(__xludf.DUMMYFUNCTION("""COMPUTED_VALUE"""),"นำจ่ายใหม่")</f>
        <v>นำจ่ายใหม่</v>
      </c>
      <c r="H303" s="1" t="str">
        <f ca="1">IFERROR(__xludf.DUMMYFUNCTION("""COMPUTED_VALUE"""),"แจ้งที่อยู่นำจ่ายใหม่")</f>
        <v>แจ้งที่อยู่นำจ่ายใหม่</v>
      </c>
      <c r="I303" s="1" t="str">
        <f ca="1">IFERROR(__xludf.DUMMYFUNCTION("""COMPUTED_VALUE"""),"แจ้งเจ้าหน้าที่นำจ่ายแล้วครับ")</f>
        <v>แจ้งเจ้าหน้าที่นำจ่ายแล้วครับ</v>
      </c>
      <c r="J303" s="1" t="str">
        <f ca="1">IFERROR(__xludf.DUMMYFUNCTION("""COMPUTED_VALUE"""),"DB4")</f>
        <v>DB4</v>
      </c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 ht="15.75" customHeight="1" x14ac:dyDescent="0.2">
      <c r="A304" s="8">
        <f ca="1">IFERROR(__xludf.DUMMYFUNCTION("""COMPUTED_VALUE"""),45272.467679375)</f>
        <v>45272.467679374997</v>
      </c>
      <c r="B304" s="1" t="str">
        <f ca="1">IFERROR(__xludf.DUMMYFUNCTION("""COMPUTED_VALUE"""),"CEC")</f>
        <v>CEC</v>
      </c>
      <c r="C304" s="1" t="str">
        <f ca="1">IFERROR(__xludf.DUMMYFUNCTION("""COMPUTED_VALUE"""),"ef213741810th")</f>
        <v>ef213741810th</v>
      </c>
      <c r="D304" s="1" t="str">
        <f ca="1">IFERROR(__xludf.DUMMYFUNCTION("""COMPUTED_VALUE"""),"อำพร")</f>
        <v>อำพร</v>
      </c>
      <c r="E304" s="1" t="str">
        <f ca="1">IFERROR(__xludf.DUMMYFUNCTION("""COMPUTED_VALUE"""),"0895138618")</f>
        <v>0895138618</v>
      </c>
      <c r="F304" s="1" t="str">
        <f ca="1">IFERROR(__xludf.DUMMYFUNCTION("""COMPUTED_VALUE"""),"1209 ซ64/1")</f>
        <v>1209 ซ64/1</v>
      </c>
      <c r="G304" s="1" t="str">
        <f ca="1">IFERROR(__xludf.DUMMYFUNCTION("""COMPUTED_VALUE"""),"นำจ่ายใหม่")</f>
        <v>นำจ่ายใหม่</v>
      </c>
      <c r="H304" s="1" t="str">
        <f ca="1">IFERROR(__xludf.DUMMYFUNCTION("""COMPUTED_VALUE"""),"ผูรับไม่ได้รับสิ่งของ")</f>
        <v>ผูรับไม่ได้รับสิ่งของ</v>
      </c>
      <c r="I304" s="1" t="str">
        <f ca="1">IFERROR(__xludf.DUMMYFUNCTION("""COMPUTED_VALUE"""),"แจ้งเจ้าหน้าที่นำจ่ายแล้วครับ")</f>
        <v>แจ้งเจ้าหน้าที่นำจ่ายแล้วครับ</v>
      </c>
      <c r="J304" s="1" t="str">
        <f ca="1">IFERROR(__xludf.DUMMYFUNCTION("""COMPUTED_VALUE"""),"DB4")</f>
        <v>DB4</v>
      </c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ht="15.75" customHeight="1" x14ac:dyDescent="0.2">
      <c r="A305" s="8">
        <f ca="1">IFERROR(__xludf.DUMMYFUNCTION("""COMPUTED_VALUE"""),45272.4688785416)</f>
        <v>45272.4688785416</v>
      </c>
      <c r="B305" s="1" t="str">
        <f ca="1">IFERROR(__xludf.DUMMYFUNCTION("""COMPUTED_VALUE"""),"CEC")</f>
        <v>CEC</v>
      </c>
      <c r="C305" s="1" t="str">
        <f ca="1">IFERROR(__xludf.DUMMYFUNCTION("""COMPUTED_VALUE"""),"eb944781035th")</f>
        <v>eb944781035th</v>
      </c>
      <c r="D305" s="1" t="str">
        <f ca="1">IFERROR(__xludf.DUMMYFUNCTION("""COMPUTED_VALUE"""),"จิราภรณ์")</f>
        <v>จิราภรณ์</v>
      </c>
      <c r="E305" s="1" t="str">
        <f ca="1">IFERROR(__xludf.DUMMYFUNCTION("""COMPUTED_VALUE"""),"0871090011")</f>
        <v>0871090011</v>
      </c>
      <c r="F305" s="1" t="str">
        <f ca="1">IFERROR(__xludf.DUMMYFUNCTION("""COMPUTED_VALUE"""),"2556  อาคาร 66ทาวเวอร์")</f>
        <v>2556  อาคาร 66ทาวเวอร์</v>
      </c>
      <c r="G305" s="1" t="str">
        <f ca="1">IFERROR(__xludf.DUMMYFUNCTION("""COMPUTED_VALUE"""),"นำจ่ายใหม่")</f>
        <v>นำจ่ายใหม่</v>
      </c>
      <c r="H305" s="1" t="str">
        <f ca="1">IFERROR(__xludf.DUMMYFUNCTION("""COMPUTED_VALUE"""),"บ้านปิด")</f>
        <v>บ้านปิด</v>
      </c>
      <c r="I305" s="1" t="str">
        <f ca="1">IFERROR(__xludf.DUMMYFUNCTION("""COMPUTED_VALUE"""),"แจ้งเจ้าหน้าที่นำจ่ายแล้วครับ")</f>
        <v>แจ้งเจ้าหน้าที่นำจ่ายแล้วครับ</v>
      </c>
      <c r="J305" s="1" t="str">
        <f ca="1">IFERROR(__xludf.DUMMYFUNCTION("""COMPUTED_VALUE"""),"DB2")</f>
        <v>DB2</v>
      </c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ht="15.75" customHeight="1" x14ac:dyDescent="0.2">
      <c r="A306" s="8">
        <f ca="1">IFERROR(__xludf.DUMMYFUNCTION("""COMPUTED_VALUE"""),45272.4990616319)</f>
        <v>45272.499061631897</v>
      </c>
      <c r="B306" s="1" t="str">
        <f ca="1">IFERROR(__xludf.DUMMYFUNCTION("""COMPUTED_VALUE"""),"CEC")</f>
        <v>CEC</v>
      </c>
      <c r="C306" s="1" t="str">
        <f ca="1">IFERROR(__xludf.DUMMYFUNCTION("""COMPUTED_VALUE"""),"em356352491th")</f>
        <v>em356352491th</v>
      </c>
      <c r="D306" s="1" t="str">
        <f ca="1">IFERROR(__xludf.DUMMYFUNCTION("""COMPUTED_VALUE"""),"สุพัตร")</f>
        <v>สุพัตร</v>
      </c>
      <c r="E306" s="1" t="str">
        <f ca="1">IFERROR(__xludf.DUMMYFUNCTION("""COMPUTED_VALUE"""),"0973012141")</f>
        <v>0973012141</v>
      </c>
      <c r="F306" s="1" t="str">
        <f ca="1">IFERROR(__xludf.DUMMYFUNCTION("""COMPUTED_VALUE"""),"4003-4005  อุ")</f>
        <v>4003-4005  อุ</v>
      </c>
      <c r="G306" s="1" t="str">
        <f ca="1">IFERROR(__xludf.DUMMYFUNCTION("""COMPUTED_VALUE"""),"นำจ่ายใหม่")</f>
        <v>นำจ่ายใหม่</v>
      </c>
      <c r="H306" s="1" t="str">
        <f ca="1">IFERROR(__xludf.DUMMYFUNCTION("""COMPUTED_VALUE"""),"cod 380 ")</f>
        <v xml:space="preserve">cod 380 </v>
      </c>
      <c r="I306" s="1" t="str">
        <f ca="1">IFERROR(__xludf.DUMMYFUNCTION("""COMPUTED_VALUE"""),"แจ้งเจ้าหน้าที่นำจ่ายแล้วครับ")</f>
        <v>แจ้งเจ้าหน้าที่นำจ่ายแล้วครับ</v>
      </c>
      <c r="J306" s="1" t="str">
        <f ca="1">IFERROR(__xludf.DUMMYFUNCTION("""COMPUTED_VALUE"""),"DB2")</f>
        <v>DB2</v>
      </c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 ht="15.75" customHeight="1" x14ac:dyDescent="0.2">
      <c r="A307" s="8">
        <f ca="1">IFERROR(__xludf.DUMMYFUNCTION("""COMPUTED_VALUE"""),45272.5000920717)</f>
        <v>45272.500092071699</v>
      </c>
      <c r="B307" s="1" t="str">
        <f ca="1">IFERROR(__xludf.DUMMYFUNCTION("""COMPUTED_VALUE"""),"CEC")</f>
        <v>CEC</v>
      </c>
      <c r="C307" s="1" t="str">
        <f ca="1">IFERROR(__xludf.DUMMYFUNCTION("""COMPUTED_VALUE"""),"oa454128071th")</f>
        <v>oa454128071th</v>
      </c>
      <c r="D307" s="1" t="str">
        <f ca="1">IFERROR(__xludf.DUMMYFUNCTION("""COMPUTED_VALUE"""),"นัยดา")</f>
        <v>นัยดา</v>
      </c>
      <c r="E307" s="1" t="str">
        <f ca="1">IFERROR(__xludf.DUMMYFUNCTION("""COMPUTED_VALUE"""),"0854436402")</f>
        <v>0854436402</v>
      </c>
      <c r="F307" s="1" t="str">
        <f ca="1">IFERROR(__xludf.DUMMYFUNCTION("""COMPUTED_VALUE"""),"2001/60  ซ.101/1")</f>
        <v>2001/60  ซ.101/1</v>
      </c>
      <c r="G307" s="1" t="str">
        <f ca="1">IFERROR(__xludf.DUMMYFUNCTION("""COMPUTED_VALUE"""),"นำจ่ายใหม่")</f>
        <v>นำจ่ายใหม่</v>
      </c>
      <c r="H307" s="1" t="str">
        <f ca="1">IFERROR(__xludf.DUMMYFUNCTION("""COMPUTED_VALUE"""),"บ้านปิด")</f>
        <v>บ้านปิด</v>
      </c>
      <c r="I307" s="1" t="str">
        <f ca="1">IFERROR(__xludf.DUMMYFUNCTION("""COMPUTED_VALUE"""),"แจ้งเจ้าหน้าที่นำจ่ายแล้วครับ")</f>
        <v>แจ้งเจ้าหน้าที่นำจ่ายแล้วครับ</v>
      </c>
      <c r="J307" s="1" t="str">
        <f ca="1">IFERROR(__xludf.DUMMYFUNCTION("""COMPUTED_VALUE"""),"DB2")</f>
        <v>DB2</v>
      </c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 ht="15.75" customHeight="1" x14ac:dyDescent="0.2">
      <c r="A308" s="8">
        <f ca="1">IFERROR(__xludf.DUMMYFUNCTION("""COMPUTED_VALUE"""),45272.5581921527)</f>
        <v>45272.558192152697</v>
      </c>
      <c r="B308" s="1" t="str">
        <f ca="1">IFERROR(__xludf.DUMMYFUNCTION("""COMPUTED_VALUE"""),"CEC")</f>
        <v>CEC</v>
      </c>
      <c r="C308" s="1" t="str">
        <f ca="1">IFERROR(__xludf.DUMMYFUNCTION("""COMPUTED_VALUE"""),"eb578249372th")</f>
        <v>eb578249372th</v>
      </c>
      <c r="D308" s="1" t="str">
        <f ca="1">IFERROR(__xludf.DUMMYFUNCTION("""COMPUTED_VALUE"""),"กชพัณ")</f>
        <v>กชพัณ</v>
      </c>
      <c r="E308" s="1" t="str">
        <f ca="1">IFERROR(__xludf.DUMMYFUNCTION("""COMPUTED_VALUE"""),"0634255365")</f>
        <v>0634255365</v>
      </c>
      <c r="F308" s="1" t="str">
        <f ca="1">IFERROR(__xludf.DUMMYFUNCTION("""COMPUTED_VALUE"""),"43/39ซ.พึ่งมี")</f>
        <v>43/39ซ.พึ่งมี</v>
      </c>
      <c r="G308" s="1" t="str">
        <f ca="1">IFERROR(__xludf.DUMMYFUNCTION("""COMPUTED_VALUE"""),"ตรวจสอบการนำจ่าย")</f>
        <v>ตรวจสอบการนำจ่าย</v>
      </c>
      <c r="H308" s="1" t="str">
        <f ca="1">IFERROR(__xludf.DUMMYFUNCTION("""COMPUTED_VALUE"""),"ผู้รับไม่ได้รับสิ่งของ")</f>
        <v>ผู้รับไม่ได้รับสิ่งของ</v>
      </c>
      <c r="I308" s="1" t="str">
        <f ca="1">IFERROR(__xludf.DUMMYFUNCTION("""COMPUTED_VALUE"""),"แจ้งเจ้าหน้าที่นำจ่ายแล้ว")</f>
        <v>แจ้งเจ้าหน้าที่นำจ่ายแล้ว</v>
      </c>
      <c r="J308" s="1" t="str">
        <f ca="1">IFERROR(__xludf.DUMMYFUNCTION("""COMPUTED_VALUE"""),"DB3")</f>
        <v>DB3</v>
      </c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ht="15.75" customHeight="1" x14ac:dyDescent="0.2">
      <c r="A309" s="8">
        <f ca="1">IFERROR(__xludf.DUMMYFUNCTION("""COMPUTED_VALUE"""),45273.536635324)</f>
        <v>45273.536635324002</v>
      </c>
      <c r="B309" s="1" t="str">
        <f ca="1">IFERROR(__xludf.DUMMYFUNCTION("""COMPUTED_VALUE"""),"CEC")</f>
        <v>CEC</v>
      </c>
      <c r="C309" s="1" t="str">
        <f ca="1">IFERROR(__xludf.DUMMYFUNCTION("""COMPUTED_VALUE"""),"ri895461364th")</f>
        <v>ri895461364th</v>
      </c>
      <c r="D309" s="1" t="str">
        <f ca="1">IFERROR(__xludf.DUMMYFUNCTION("""COMPUTED_VALUE"""),"ชลธิชา")</f>
        <v>ชลธิชา</v>
      </c>
      <c r="E309" s="1" t="str">
        <f ca="1">IFERROR(__xludf.DUMMYFUNCTION("""COMPUTED_VALUE"""),"0863343285")</f>
        <v>0863343285</v>
      </c>
      <c r="F309" s="1" t="str">
        <f ca="1">IFERROR(__xludf.DUMMYFUNCTION("""COMPUTED_VALUE"""),"รีเจนโฮม  77/109")</f>
        <v>รีเจนโฮม  77/109</v>
      </c>
      <c r="G309" s="1" t="str">
        <f ca="1">IFERROR(__xludf.DUMMYFUNCTION("""COMPUTED_VALUE"""),"ตรวจสอบการนำจ่าย")</f>
        <v>ตรวจสอบการนำจ่าย</v>
      </c>
      <c r="H309" s="1" t="str">
        <f ca="1">IFERROR(__xludf.DUMMYFUNCTION("""COMPUTED_VALUE"""),"ผูัรับไม่ได้รับสิ่งของ")</f>
        <v>ผูัรับไม่ได้รับสิ่งของ</v>
      </c>
      <c r="I309" s="1" t="str">
        <f ca="1">IFERROR(__xludf.DUMMYFUNCTION("""COMPUTED_VALUE"""),"แจ้งเจ้าหน้าที่นำจ่ายแล้ว")</f>
        <v>แจ้งเจ้าหน้าที่นำจ่ายแล้ว</v>
      </c>
      <c r="J309" s="1" t="str">
        <f ca="1">IFERROR(__xludf.DUMMYFUNCTION("""COMPUTED_VALUE"""),"DB3")</f>
        <v>DB3</v>
      </c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 ht="15.75" customHeight="1" x14ac:dyDescent="0.2">
      <c r="A310" s="8">
        <f ca="1">IFERROR(__xludf.DUMMYFUNCTION("""COMPUTED_VALUE"""),45273.5381789699)</f>
        <v>45273.538178969902</v>
      </c>
      <c r="B310" s="1" t="str">
        <f ca="1">IFERROR(__xludf.DUMMYFUNCTION("""COMPUTED_VALUE"""),"CEC")</f>
        <v>CEC</v>
      </c>
      <c r="C310" s="1" t="str">
        <f ca="1">IFERROR(__xludf.DUMMYFUNCTION("""COMPUTED_VALUE"""),"ed105921750th")</f>
        <v>ed105921750th</v>
      </c>
      <c r="D310" s="1" t="str">
        <f ca="1">IFERROR(__xludf.DUMMYFUNCTION("""COMPUTED_VALUE"""),"ศุภดิษฐ")</f>
        <v>ศุภดิษฐ</v>
      </c>
      <c r="E310" s="1" t="str">
        <f ca="1">IFERROR(__xludf.DUMMYFUNCTION("""COMPUTED_VALUE"""),"0622689256")</f>
        <v>0622689256</v>
      </c>
      <c r="F310" s="1" t="str">
        <f ca="1">IFERROR(__xludf.DUMMYFUNCTION("""COMPUTED_VALUE"""),"246/304 ซ.พึ่งมี")</f>
        <v>246/304 ซ.พึ่งมี</v>
      </c>
      <c r="G310" s="1" t="str">
        <f ca="1">IFERROR(__xludf.DUMMYFUNCTION("""COMPUTED_VALUE"""),"นำจ่ายใหม่")</f>
        <v>นำจ่ายใหม่</v>
      </c>
      <c r="H310" s="1" t="str">
        <f ca="1">IFERROR(__xludf.DUMMYFUNCTION("""COMPUTED_VALUE"""),"บ้านปิด")</f>
        <v>บ้านปิด</v>
      </c>
      <c r="I310" s="1" t="str">
        <f ca="1">IFERROR(__xludf.DUMMYFUNCTION("""COMPUTED_VALUE"""),"แจ้งเจ้าหน้าที่นำจ่ายแล้ว")</f>
        <v>แจ้งเจ้าหน้าที่นำจ่ายแล้ว</v>
      </c>
      <c r="J310" s="1" t="str">
        <f ca="1">IFERROR(__xludf.DUMMYFUNCTION("""COMPUTED_VALUE"""),"DB3")</f>
        <v>DB3</v>
      </c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 ht="15.75" customHeight="1" x14ac:dyDescent="0.2">
      <c r="A311" s="8">
        <f ca="1">IFERROR(__xludf.DUMMYFUNCTION("""COMPUTED_VALUE"""),45273.539911331)</f>
        <v>45273.539911330998</v>
      </c>
      <c r="B311" s="1" t="str">
        <f ca="1">IFERROR(__xludf.DUMMYFUNCTION("""COMPUTED_VALUE"""),"CEC")</f>
        <v>CEC</v>
      </c>
      <c r="C311" s="1" t="str">
        <f ca="1">IFERROR(__xludf.DUMMYFUNCTION("""COMPUTED_VALUE"""),"ri926980843th")</f>
        <v>ri926980843th</v>
      </c>
      <c r="D311" s="1" t="str">
        <f ca="1">IFERROR(__xludf.DUMMYFUNCTION("""COMPUTED_VALUE"""),"อรพรรณ")</f>
        <v>อรพรรณ</v>
      </c>
      <c r="E311" s="1" t="str">
        <f ca="1">IFERROR(__xludf.DUMMYFUNCTION("""COMPUTED_VALUE"""),"0636282934และ ri926986112th")</f>
        <v>0636282934และ ri926986112th</v>
      </c>
      <c r="F311" s="1" t="str">
        <f ca="1">IFERROR(__xludf.DUMMYFUNCTION("""COMPUTED_VALUE"""),"19 ปุณวิธี11")</f>
        <v>19 ปุณวิธี11</v>
      </c>
      <c r="G311" s="1" t="str">
        <f ca="1">IFERROR(__xludf.DUMMYFUNCTION("""COMPUTED_VALUE"""),"นำจ่ายใหม่")</f>
        <v>นำจ่ายใหม่</v>
      </c>
      <c r="H311" s="1" t="str">
        <f ca="1">IFERROR(__xludf.DUMMYFUNCTION("""COMPUTED_VALUE"""),"บ้านปิด")</f>
        <v>บ้านปิด</v>
      </c>
      <c r="I311" s="1" t="str">
        <f ca="1">IFERROR(__xludf.DUMMYFUNCTION("""COMPUTED_VALUE"""),"แจ้งเจ้าหน้าที่นำจ่ายแล้ว")</f>
        <v>แจ้งเจ้าหน้าที่นำจ่ายแล้ว</v>
      </c>
      <c r="J311" s="1" t="str">
        <f ca="1">IFERROR(__xludf.DUMMYFUNCTION("""COMPUTED_VALUE"""),"DB3")</f>
        <v>DB3</v>
      </c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 ht="15.75" customHeight="1" x14ac:dyDescent="0.2">
      <c r="A312" s="8">
        <f ca="1">IFERROR(__xludf.DUMMYFUNCTION("""COMPUTED_VALUE"""),45273.541580243)</f>
        <v>45273.541580243</v>
      </c>
      <c r="B312" s="1" t="str">
        <f ca="1">IFERROR(__xludf.DUMMYFUNCTION("""COMPUTED_VALUE"""),"CEC")</f>
        <v>CEC</v>
      </c>
      <c r="C312" s="1" t="str">
        <f ca="1">IFERROR(__xludf.DUMMYFUNCTION("""COMPUTED_VALUE"""),"rl780916322th")</f>
        <v>rl780916322th</v>
      </c>
      <c r="D312" s="1" t="str">
        <f ca="1">IFERROR(__xludf.DUMMYFUNCTION("""COMPUTED_VALUE"""),"หนึ่งฤทัย")</f>
        <v>หนึ่งฤทัย</v>
      </c>
      <c r="E312" s="1" t="str">
        <f ca="1">IFERROR(__xludf.DUMMYFUNCTION("""COMPUTED_VALUE"""),"0863343691")</f>
        <v>0863343691</v>
      </c>
      <c r="F312" s="1" t="str">
        <f ca="1">IFERROR(__xludf.DUMMYFUNCTION("""COMPUTED_VALUE"""),"2 ปุณวิธี 31ซ101")</f>
        <v>2 ปุณวิธี 31ซ101</v>
      </c>
      <c r="G312" s="1" t="str">
        <f ca="1">IFERROR(__xludf.DUMMYFUNCTION("""COMPUTED_VALUE"""),"ตรวจสอบการนำจ่าย")</f>
        <v>ตรวจสอบการนำจ่าย</v>
      </c>
      <c r="H312" s="1" t="str">
        <f ca="1">IFERROR(__xludf.DUMMYFUNCTION("""COMPUTED_VALUE"""),"ผู้รับไม่ไดรับสิ่งของ")</f>
        <v>ผู้รับไม่ไดรับสิ่งของ</v>
      </c>
      <c r="I312" s="1" t="str">
        <f ca="1">IFERROR(__xludf.DUMMYFUNCTION("""COMPUTED_VALUE"""),"แจ้งเจ้าที่นำจ่ายแล้ว")</f>
        <v>แจ้งเจ้าที่นำจ่ายแล้ว</v>
      </c>
      <c r="J312" s="1" t="str">
        <f ca="1">IFERROR(__xludf.DUMMYFUNCTION("""COMPUTED_VALUE"""),"DB3")</f>
        <v>DB3</v>
      </c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 ht="15.75" customHeight="1" x14ac:dyDescent="0.2">
      <c r="A313" s="8">
        <f ca="1">IFERROR(__xludf.DUMMYFUNCTION("""COMPUTED_VALUE"""),45273.5438914583)</f>
        <v>45273.543891458299</v>
      </c>
      <c r="B313" s="1" t="str">
        <f ca="1">IFERROR(__xludf.DUMMYFUNCTION("""COMPUTED_VALUE"""),"CEC")</f>
        <v>CEC</v>
      </c>
      <c r="C313" s="1" t="str">
        <f ca="1">IFERROR(__xludf.DUMMYFUNCTION("""COMPUTED_VALUE"""),"ef221641314th")</f>
        <v>ef221641314th</v>
      </c>
      <c r="D313" s="1" t="str">
        <f ca="1">IFERROR(__xludf.DUMMYFUNCTION("""COMPUTED_VALUE"""),"แก้วตา")</f>
        <v>แก้วตา</v>
      </c>
      <c r="E313" s="1" t="str">
        <f ca="1">IFERROR(__xludf.DUMMYFUNCTION("""COMPUTED_VALUE"""),"0818458540")</f>
        <v>0818458540</v>
      </c>
      <c r="F313" s="1" t="str">
        <f ca="1">IFERROR(__xludf.DUMMYFUNCTION("""COMPUTED_VALUE"""),"6689/9")</f>
        <v>6689/9</v>
      </c>
      <c r="G313" s="1" t="str">
        <f ca="1">IFERROR(__xludf.DUMMYFUNCTION("""COMPUTED_VALUE"""),"ตรวจสอบการนำจ่าย")</f>
        <v>ตรวจสอบการนำจ่าย</v>
      </c>
      <c r="H313" s="1" t="str">
        <f ca="1">IFERROR(__xludf.DUMMYFUNCTION("""COMPUTED_VALUE"""),"ผู้รับไม่ได้รับสิ่งของ")</f>
        <v>ผู้รับไม่ได้รับสิ่งของ</v>
      </c>
      <c r="I313" s="1" t="str">
        <f ca="1">IFERROR(__xludf.DUMMYFUNCTION("""COMPUTED_VALUE"""),"แจ้งเจ้าที่นำจ่ายแล้ว")</f>
        <v>แจ้งเจ้าที่นำจ่ายแล้ว</v>
      </c>
      <c r="J313" s="1" t="str">
        <f ca="1">IFERROR(__xludf.DUMMYFUNCTION("""COMPUTED_VALUE"""),"DB4")</f>
        <v>DB4</v>
      </c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 ht="15.75" customHeight="1" x14ac:dyDescent="0.2">
      <c r="A314" s="8">
        <f ca="1">IFERROR(__xludf.DUMMYFUNCTION("""COMPUTED_VALUE"""),45273.5450735185)</f>
        <v>45273.5450735185</v>
      </c>
      <c r="B314" s="1" t="str">
        <f ca="1">IFERROR(__xludf.DUMMYFUNCTION("""COMPUTED_VALUE"""),"CEC")</f>
        <v>CEC</v>
      </c>
      <c r="C314" s="1" t="str">
        <f ca="1">IFERROR(__xludf.DUMMYFUNCTION("""COMPUTED_VALUE"""),"ea906840778th")</f>
        <v>ea906840778th</v>
      </c>
      <c r="D314" s="1" t="str">
        <f ca="1">IFERROR(__xludf.DUMMYFUNCTION("""COMPUTED_VALUE"""),"ภัทร")</f>
        <v>ภัทร</v>
      </c>
      <c r="E314" s="1" t="str">
        <f ca="1">IFERROR(__xludf.DUMMYFUNCTION("""COMPUTED_VALUE"""),"0637734618")</f>
        <v>0637734618</v>
      </c>
      <c r="F314" s="1" t="str">
        <f ca="1">IFERROR(__xludf.DUMMYFUNCTION("""COMPUTED_VALUE"""),"69 ลาซาล 12")</f>
        <v>69 ลาซาล 12</v>
      </c>
      <c r="G314" s="1" t="str">
        <f ca="1">IFERROR(__xludf.DUMMYFUNCTION("""COMPUTED_VALUE"""),"นำจ่ายใหม่")</f>
        <v>นำจ่ายใหม่</v>
      </c>
      <c r="H314" s="1" t="str">
        <f ca="1">IFERROR(__xludf.DUMMYFUNCTION("""COMPUTED_VALUE"""),"ติดต่อผู้รับไม่ได้")</f>
        <v>ติดต่อผู้รับไม่ได้</v>
      </c>
      <c r="I314" s="1" t="str">
        <f ca="1">IFERROR(__xludf.DUMMYFUNCTION("""COMPUTED_VALUE"""),"แจ้งเจ้าที่นำจ่ายแล้ว")</f>
        <v>แจ้งเจ้าที่นำจ่ายแล้ว</v>
      </c>
      <c r="J314" s="1" t="str">
        <f ca="1">IFERROR(__xludf.DUMMYFUNCTION("""COMPUTED_VALUE"""),"DB1")</f>
        <v>DB1</v>
      </c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 ht="15.75" customHeight="1" x14ac:dyDescent="0.2">
      <c r="A315" s="8">
        <f ca="1">IFERROR(__xludf.DUMMYFUNCTION("""COMPUTED_VALUE"""),45274.4531402893)</f>
        <v>45274.453140289297</v>
      </c>
      <c r="B315" s="1" t="str">
        <f ca="1">IFERROR(__xludf.DUMMYFUNCTION("""COMPUTED_VALUE"""),"CEC")</f>
        <v>CEC</v>
      </c>
      <c r="C315" s="1" t="str">
        <f ca="1">IFERROR(__xludf.DUMMYFUNCTION("""COMPUTED_VALUE"""),"ry711501885th")</f>
        <v>ry711501885th</v>
      </c>
      <c r="D315" s="1" t="str">
        <f ca="1">IFERROR(__xludf.DUMMYFUNCTION("""COMPUTED_VALUE"""),"ไพโรจน์")</f>
        <v>ไพโรจน์</v>
      </c>
      <c r="E315" s="1" t="str">
        <f ca="1">IFERROR(__xludf.DUMMYFUNCTION("""COMPUTED_VALUE"""),"0955812662")</f>
        <v>0955812662</v>
      </c>
      <c r="F315" s="1" t="str">
        <f ca="1">IFERROR(__xludf.DUMMYFUNCTION("""COMPUTED_VALUE"""),"249/42 พึ่งมี50แยก 4")</f>
        <v>249/42 พึ่งมี50แยก 4</v>
      </c>
      <c r="G315" s="1" t="str">
        <f ca="1">IFERROR(__xludf.DUMMYFUNCTION("""COMPUTED_VALUE"""),"นำจ่ายใหม่")</f>
        <v>นำจ่ายใหม่</v>
      </c>
      <c r="H315" s="1" t="str">
        <f ca="1">IFERROR(__xludf.DUMMYFUNCTION("""COMPUTED_VALUE"""),"บ้านปิด")</f>
        <v>บ้านปิด</v>
      </c>
      <c r="I315" s="1" t="str">
        <f ca="1">IFERROR(__xludf.DUMMYFUNCTION("""COMPUTED_VALUE"""),"แจ้งเจ้าหน้าที่นำจ่ายแล้ว")</f>
        <v>แจ้งเจ้าหน้าที่นำจ่ายแล้ว</v>
      </c>
      <c r="J315" s="1" t="str">
        <f ca="1">IFERROR(__xludf.DUMMYFUNCTION("""COMPUTED_VALUE"""),"DB3")</f>
        <v>DB3</v>
      </c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 ht="15.75" customHeight="1" x14ac:dyDescent="0.2">
      <c r="A316" s="8">
        <f ca="1">IFERROR(__xludf.DUMMYFUNCTION("""COMPUTED_VALUE"""),45274.4544254282)</f>
        <v>45274.454425428201</v>
      </c>
      <c r="B316" s="1" t="str">
        <f ca="1">IFERROR(__xludf.DUMMYFUNCTION("""COMPUTED_VALUE"""),"CEC")</f>
        <v>CEC</v>
      </c>
      <c r="C316" s="1" t="str">
        <f ca="1">IFERROR(__xludf.DUMMYFUNCTION("""COMPUTED_VALUE"""),"em195184525th")</f>
        <v>em195184525th</v>
      </c>
      <c r="D316" s="1" t="str">
        <f ca="1">IFERROR(__xludf.DUMMYFUNCTION("""COMPUTED_VALUE"""),"สุชัย")</f>
        <v>สุชัย</v>
      </c>
      <c r="E316" s="1" t="str">
        <f ca="1">IFERROR(__xludf.DUMMYFUNCTION("""COMPUTED_VALUE"""),"0968637274")</f>
        <v>0968637274</v>
      </c>
      <c r="F316" s="1" t="str">
        <f ca="1">IFERROR(__xludf.DUMMYFUNCTION("""COMPUTED_VALUE"""),"333/157")</f>
        <v>333/157</v>
      </c>
      <c r="G316" s="1" t="str">
        <f ca="1">IFERROR(__xludf.DUMMYFUNCTION("""COMPUTED_VALUE"""),"ตรวจสอบการนำจ่าย")</f>
        <v>ตรวจสอบการนำจ่าย</v>
      </c>
      <c r="H316" s="1" t="str">
        <f ca="1">IFERROR(__xludf.DUMMYFUNCTION("""COMPUTED_VALUE"""),"ผู้รับยไม่ได้รับสิ่งของ")</f>
        <v>ผู้รับยไม่ได้รับสิ่งของ</v>
      </c>
      <c r="I316" s="1" t="str">
        <f ca="1">IFERROR(__xludf.DUMMYFUNCTION("""COMPUTED_VALUE"""),"แจ้งเจ้าหน้าที่นำจ่ายแล้ว")</f>
        <v>แจ้งเจ้าหน้าที่นำจ่ายแล้ว</v>
      </c>
      <c r="J316" s="1" t="str">
        <f ca="1">IFERROR(__xludf.DUMMYFUNCTION("""COMPUTED_VALUE"""),"DB1")</f>
        <v>DB1</v>
      </c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ht="15.75" customHeight="1" x14ac:dyDescent="0.2">
      <c r="A317" s="8">
        <f ca="1">IFERROR(__xludf.DUMMYFUNCTION("""COMPUTED_VALUE"""),45274.4562474421)</f>
        <v>45274.456247442104</v>
      </c>
      <c r="B317" s="1" t="str">
        <f ca="1">IFERROR(__xludf.DUMMYFUNCTION("""COMPUTED_VALUE"""),"CEC")</f>
        <v>CEC</v>
      </c>
      <c r="C317" s="1" t="str">
        <f ca="1">IFERROR(__xludf.DUMMYFUNCTION("""COMPUTED_VALUE"""),"rj089802354th")</f>
        <v>rj089802354th</v>
      </c>
      <c r="D317" s="1" t="str">
        <f ca="1">IFERROR(__xludf.DUMMYFUNCTION("""COMPUTED_VALUE"""),"ยุทธกิจ")</f>
        <v>ยุทธกิจ</v>
      </c>
      <c r="E317" s="1" t="str">
        <f ca="1">IFERROR(__xludf.DUMMYFUNCTION("""COMPUTED_VALUE"""),"0924929538")</f>
        <v>0924929538</v>
      </c>
      <c r="F317" s="1" t="str">
        <f ca="1">IFERROR(__xludf.DUMMYFUNCTION("""COMPUTED_VALUE"""),"287 สุขุมวิทย์ 62")</f>
        <v>287 สุขุมวิทย์ 62</v>
      </c>
      <c r="G317" s="1" t="str">
        <f ca="1">IFERROR(__xludf.DUMMYFUNCTION("""COMPUTED_VALUE"""),"นำจ่ายใหม่")</f>
        <v>นำจ่ายใหม่</v>
      </c>
      <c r="H317" s="1" t="str">
        <f ca="1">IFERROR(__xludf.DUMMYFUNCTION("""COMPUTED_VALUE"""),"บ้านปิด")</f>
        <v>บ้านปิด</v>
      </c>
      <c r="I317" s="1" t="str">
        <f ca="1">IFERROR(__xludf.DUMMYFUNCTION("""COMPUTED_VALUE"""),"แจ้งเจ้าหน้าที่นำจ่ายแล้ว")</f>
        <v>แจ้งเจ้าหน้าที่นำจ่ายแล้ว</v>
      </c>
      <c r="J317" s="1" t="str">
        <f ca="1">IFERROR(__xludf.DUMMYFUNCTION("""COMPUTED_VALUE"""),"DB4")</f>
        <v>DB4</v>
      </c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 ht="15.75" customHeight="1" x14ac:dyDescent="0.2">
      <c r="A318" s="8">
        <f ca="1">IFERROR(__xludf.DUMMYFUNCTION("""COMPUTED_VALUE"""),45274.4573907175)</f>
        <v>45274.4573907175</v>
      </c>
      <c r="B318" s="1" t="str">
        <f ca="1">IFERROR(__xludf.DUMMYFUNCTION("""COMPUTED_VALUE"""),"CEC")</f>
        <v>CEC</v>
      </c>
      <c r="C318" s="1" t="str">
        <f ca="1">IFERROR(__xludf.DUMMYFUNCTION("""COMPUTED_VALUE"""),"ed097110695th")</f>
        <v>ed097110695th</v>
      </c>
      <c r="D318" s="1" t="str">
        <f ca="1">IFERROR(__xludf.DUMMYFUNCTION("""COMPUTED_VALUE"""),"บุญศรี")</f>
        <v>บุญศรี</v>
      </c>
      <c r="E318" s="1" t="str">
        <f ca="1">IFERROR(__xludf.DUMMYFUNCTION("""COMPUTED_VALUE"""),"0868999387")</f>
        <v>0868999387</v>
      </c>
      <c r="F318" s="1" t="str">
        <f ca="1">IFERROR(__xludf.DUMMYFUNCTION("""COMPUTED_VALUE"""),"42-44  ลาซซาล  77")</f>
        <v>42-44  ลาซซาล  77</v>
      </c>
      <c r="G318" s="1" t="str">
        <f ca="1">IFERROR(__xludf.DUMMYFUNCTION("""COMPUTED_VALUE"""),"นำจ่ายใหม่")</f>
        <v>นำจ่ายใหม่</v>
      </c>
      <c r="H318" s="1" t="str">
        <f ca="1">IFERROR(__xludf.DUMMYFUNCTION("""COMPUTED_VALUE"""),"บ้านปิด")</f>
        <v>บ้านปิด</v>
      </c>
      <c r="I318" s="1" t="str">
        <f ca="1">IFERROR(__xludf.DUMMYFUNCTION("""COMPUTED_VALUE"""),"แจ้งเจ้าหน้าที่นำจ่ายแล้ว")</f>
        <v>แจ้งเจ้าหน้าที่นำจ่ายแล้ว</v>
      </c>
      <c r="J318" s="1" t="str">
        <f ca="1">IFERROR(__xludf.DUMMYFUNCTION("""COMPUTED_VALUE"""),"DB1")</f>
        <v>DB1</v>
      </c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 ht="15.75" customHeight="1" x14ac:dyDescent="0.2">
      <c r="A319" s="8">
        <f ca="1">IFERROR(__xludf.DUMMYFUNCTION("""COMPUTED_VALUE"""),45274.4586071874)</f>
        <v>45274.4586071874</v>
      </c>
      <c r="B319" s="1" t="str">
        <f ca="1">IFERROR(__xludf.DUMMYFUNCTION("""COMPUTED_VALUE"""),"CEC")</f>
        <v>CEC</v>
      </c>
      <c r="C319" s="1" t="str">
        <f ca="1">IFERROR(__xludf.DUMMYFUNCTION("""COMPUTED_VALUE"""),"px124925428th")</f>
        <v>px124925428th</v>
      </c>
      <c r="D319" s="1" t="str">
        <f ca="1">IFERROR(__xludf.DUMMYFUNCTION("""COMPUTED_VALUE"""),"ธิติมา")</f>
        <v>ธิติมา</v>
      </c>
      <c r="E319" s="1" t="str">
        <f ca="1">IFERROR(__xludf.DUMMYFUNCTION("""COMPUTED_VALUE"""),"0939629426")</f>
        <v>0939629426</v>
      </c>
      <c r="F319" s="1" t="str">
        <f ca="1">IFERROR(__xludf.DUMMYFUNCTION("""COMPUTED_VALUE"""),"2288/390")</f>
        <v>2288/390</v>
      </c>
      <c r="G319" s="1" t="str">
        <f ca="1">IFERROR(__xludf.DUMMYFUNCTION("""COMPUTED_VALUE"""),"ตรวจสอบการนำจ่าย")</f>
        <v>ตรวจสอบการนำจ่าย</v>
      </c>
      <c r="H319" s="1" t="str">
        <f ca="1">IFERROR(__xludf.DUMMYFUNCTION("""COMPUTED_VALUE"""),"ผู้รับไม่ได้รับสิ่งของ")</f>
        <v>ผู้รับไม่ได้รับสิ่งของ</v>
      </c>
      <c r="I319" s="1" t="str">
        <f ca="1">IFERROR(__xludf.DUMMYFUNCTION("""COMPUTED_VALUE"""),"แจ้งเจ้าหน้าที่นำจ่ายแล้ว")</f>
        <v>แจ้งเจ้าหน้าที่นำจ่ายแล้ว</v>
      </c>
      <c r="J319" s="1" t="str">
        <f ca="1">IFERROR(__xludf.DUMMYFUNCTION("""COMPUTED_VALUE"""),"DB2")</f>
        <v>DB2</v>
      </c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 ht="15.75" customHeight="1" x14ac:dyDescent="0.2">
      <c r="A320" s="8">
        <f ca="1">IFERROR(__xludf.DUMMYFUNCTION("""COMPUTED_VALUE"""),45275.4431946296)</f>
        <v>45275.443194629603</v>
      </c>
      <c r="B320" s="1" t="str">
        <f ca="1">IFERROR(__xludf.DUMMYFUNCTION("""COMPUTED_VALUE"""),"CEC")</f>
        <v>CEC</v>
      </c>
      <c r="C320" s="1" t="str">
        <f ca="1">IFERROR(__xludf.DUMMYFUNCTION("""COMPUTED_VALUE"""),"rl780916322th")</f>
        <v>rl780916322th</v>
      </c>
      <c r="D320" s="1" t="str">
        <f ca="1">IFERROR(__xludf.DUMMYFUNCTION("""COMPUTED_VALUE"""),"หนุ่ย")</f>
        <v>หนุ่ย</v>
      </c>
      <c r="E320" s="1" t="str">
        <f ca="1">IFERROR(__xludf.DUMMYFUNCTION("""COMPUTED_VALUE"""),"0621989850")</f>
        <v>0621989850</v>
      </c>
      <c r="F320" s="1" t="str">
        <f ca="1">IFERROR(__xludf.DUMMYFUNCTION("""COMPUTED_VALUE"""),"2ชั้น1 ปุณวิธี31 ซ101")</f>
        <v>2ชั้น1 ปุณวิธี31 ซ101</v>
      </c>
      <c r="G320" s="1" t="str">
        <f ca="1">IFERROR(__xludf.DUMMYFUNCTION("""COMPUTED_VALUE"""),"ตรวจสอบการนำจ่าย")</f>
        <v>ตรวจสอบการนำจ่าย</v>
      </c>
      <c r="H320" s="1" t="str">
        <f ca="1">IFERROR(__xludf.DUMMYFUNCTION("""COMPUTED_VALUE"""),"ผู้รับไม่ได้รับสิ่งของ")</f>
        <v>ผู้รับไม่ได้รับสิ่งของ</v>
      </c>
      <c r="I320" s="1" t="str">
        <f ca="1">IFERROR(__xludf.DUMMYFUNCTION("""COMPUTED_VALUE"""),"แจ้งเจ้าหน้าที่นำจ่ายแล้ว")</f>
        <v>แจ้งเจ้าหน้าที่นำจ่ายแล้ว</v>
      </c>
      <c r="J320" s="1" t="str">
        <f ca="1">IFERROR(__xludf.DUMMYFUNCTION("""COMPUTED_VALUE"""),"DB3")</f>
        <v>DB3</v>
      </c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 ht="15.75" customHeight="1" x14ac:dyDescent="0.2">
      <c r="A321" s="8">
        <f ca="1">IFERROR(__xludf.DUMMYFUNCTION("""COMPUTED_VALUE"""),45275.4448085185)</f>
        <v>45275.444808518499</v>
      </c>
      <c r="B321" s="1" t="str">
        <f ca="1">IFERROR(__xludf.DUMMYFUNCTION("""COMPUTED_VALUE"""),"CEC")</f>
        <v>CEC</v>
      </c>
      <c r="C321" s="1" t="str">
        <f ca="1">IFERROR(__xludf.DUMMYFUNCTION("""COMPUTED_VALUE"""),"re876894946th")</f>
        <v>re876894946th</v>
      </c>
      <c r="D321" s="1" t="str">
        <f ca="1">IFERROR(__xludf.DUMMYFUNCTION("""COMPUTED_VALUE"""),"อภิญญา")</f>
        <v>อภิญญา</v>
      </c>
      <c r="E321" s="1" t="str">
        <f ca="1">IFERROR(__xludf.DUMMYFUNCTION("""COMPUTED_VALUE"""),"0860907264")</f>
        <v>0860907264</v>
      </c>
      <c r="F321" s="1" t="str">
        <f ca="1">IFERROR(__xludf.DUMMYFUNCTION("""COMPUTED_VALUE"""),"825 อาคารไพโรจน์ บางนาตราด 29")</f>
        <v>825 อาคารไพโรจน์ บางนาตราด 29</v>
      </c>
      <c r="G321" s="1" t="str">
        <f ca="1">IFERROR(__xludf.DUMMYFUNCTION("""COMPUTED_VALUE"""),"ตรวจสอบการนำจ่าย")</f>
        <v>ตรวจสอบการนำจ่าย</v>
      </c>
      <c r="H321" s="1" t="str">
        <f ca="1">IFERROR(__xludf.DUMMYFUNCTION("""COMPUTED_VALUE"""),"ผู้รับไม่ได้รับจดหมาย")</f>
        <v>ผู้รับไม่ได้รับจดหมาย</v>
      </c>
      <c r="I321" s="1" t="str">
        <f ca="1">IFERROR(__xludf.DUMMYFUNCTION("""COMPUTED_VALUE"""),"แจ้งเจ้าหน้าที่นำจ่ายแล้ว")</f>
        <v>แจ้งเจ้าหน้าที่นำจ่ายแล้ว</v>
      </c>
      <c r="J321" s="1" t="str">
        <f ca="1">IFERROR(__xludf.DUMMYFUNCTION("""COMPUTED_VALUE"""),"นำจ่ายรถยนต์")</f>
        <v>นำจ่ายรถยนต์</v>
      </c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 ht="15.75" customHeight="1" x14ac:dyDescent="0.2">
      <c r="A322" s="8">
        <f ca="1">IFERROR(__xludf.DUMMYFUNCTION("""COMPUTED_VALUE"""),45275.4470472106)</f>
        <v>45275.447047210597</v>
      </c>
      <c r="B322" s="1" t="str">
        <f ca="1">IFERROR(__xludf.DUMMYFUNCTION("""COMPUTED_VALUE"""),"CEC")</f>
        <v>CEC</v>
      </c>
      <c r="C322" s="1" t="str">
        <f ca="1">IFERROR(__xludf.DUMMYFUNCTION("""COMPUTED_VALUE"""),"ed066233694th")</f>
        <v>ed066233694th</v>
      </c>
      <c r="D322" s="1" t="str">
        <f ca="1">IFERROR(__xludf.DUMMYFUNCTION("""COMPUTED_VALUE"""),"บ.ดีเคเอสเอสบางจาก")</f>
        <v>บ.ดีเคเอสเอสบางจาก</v>
      </c>
      <c r="E322" s="1" t="str">
        <f ca="1">IFERROR(__xludf.DUMMYFUNCTION("""COMPUTED_VALUE"""),"027904000")</f>
        <v>027904000</v>
      </c>
      <c r="F322" s="1" t="str">
        <f ca="1">IFERROR(__xludf.DUMMYFUNCTION("""COMPUTED_VALUE"""),"2533  บางจาก")</f>
        <v>2533  บางจาก</v>
      </c>
      <c r="G322" s="1" t="str">
        <f ca="1">IFERROR(__xludf.DUMMYFUNCTION("""COMPUTED_VALUE"""),"นำจ่ายใหม่")</f>
        <v>นำจ่ายใหม่</v>
      </c>
      <c r="H322" s="1" t="str">
        <f ca="1">IFERROR(__xludf.DUMMYFUNCTION("""COMPUTED_VALUE"""),"ไม่ไดรับจดหมาย")</f>
        <v>ไม่ไดรับจดหมาย</v>
      </c>
      <c r="I322" s="1" t="str">
        <f ca="1">IFERROR(__xludf.DUMMYFUNCTION("""COMPUTED_VALUE"""),"แจ้งเจ้าหน้าที่นำจ่ายแล้ว")</f>
        <v>แจ้งเจ้าหน้าที่นำจ่ายแล้ว</v>
      </c>
      <c r="J322" s="1" t="str">
        <f ca="1">IFERROR(__xludf.DUMMYFUNCTION("""COMPUTED_VALUE"""),"นำจ่ายรถยนต์")</f>
        <v>นำจ่ายรถยนต์</v>
      </c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 ht="15.75" customHeight="1" x14ac:dyDescent="0.2">
      <c r="A323" s="8">
        <f ca="1">IFERROR(__xludf.DUMMYFUNCTION("""COMPUTED_VALUE"""),45275.4498618287)</f>
        <v>45275.449861828703</v>
      </c>
      <c r="B323" s="1" t="str">
        <f ca="1">IFERROR(__xludf.DUMMYFUNCTION("""COMPUTED_VALUE"""),"CEC")</f>
        <v>CEC</v>
      </c>
      <c r="C323" s="1" t="str">
        <f ca="1">IFERROR(__xludf.DUMMYFUNCTION("""COMPUTED_VALUE"""),"ef225998720th")</f>
        <v>ef225998720th</v>
      </c>
      <c r="D323" s="1" t="str">
        <f ca="1">IFERROR(__xludf.DUMMYFUNCTION("""COMPUTED_VALUE"""),"มัลลิกา")</f>
        <v>มัลลิกา</v>
      </c>
      <c r="E323" s="1" t="str">
        <f ca="1">IFERROR(__xludf.DUMMYFUNCTION("""COMPUTED_VALUE"""),"0806112012")</f>
        <v>0806112012</v>
      </c>
      <c r="F323" s="1" t="str">
        <f ca="1">IFERROR(__xludf.DUMMYFUNCTION("""COMPUTED_VALUE"""),"20บางนาตราด 23 บิ๊กเซ็น")</f>
        <v>20บางนาตราด 23 บิ๊กเซ็น</v>
      </c>
      <c r="G323" s="1" t="str">
        <f ca="1">IFERROR(__xludf.DUMMYFUNCTION("""COMPUTED_VALUE"""),"ตรวจสอบการนำจ่าย")</f>
        <v>ตรวจสอบการนำจ่าย</v>
      </c>
      <c r="H323" s="1" t="str">
        <f ca="1">IFERROR(__xludf.DUMMYFUNCTION("""COMPUTED_VALUE"""),"ผู้รับไม่ไดรับสิ่งของ")</f>
        <v>ผู้รับไม่ไดรับสิ่งของ</v>
      </c>
      <c r="I323" s="1" t="str">
        <f ca="1">IFERROR(__xludf.DUMMYFUNCTION("""COMPUTED_VALUE"""),"แจ้งเจ้าที่ที่เกี่ยวข้องแล้ว")</f>
        <v>แจ้งเจ้าที่ที่เกี่ยวข้องแล้ว</v>
      </c>
      <c r="J323" s="1" t="str">
        <f ca="1">IFERROR(__xludf.DUMMYFUNCTION("""COMPUTED_VALUE"""),"DB2")</f>
        <v>DB2</v>
      </c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 ht="15.75" customHeight="1" x14ac:dyDescent="0.2">
      <c r="A324" s="8">
        <f ca="1">IFERROR(__xludf.DUMMYFUNCTION("""COMPUTED_VALUE"""),45275.4512023495)</f>
        <v>45275.451202349497</v>
      </c>
      <c r="B324" s="1" t="str">
        <f ca="1">IFERROR(__xludf.DUMMYFUNCTION("""COMPUTED_VALUE"""),"On Queue")</f>
        <v>On Queue</v>
      </c>
      <c r="C324" s="1" t="str">
        <f ca="1">IFERROR(__xludf.DUMMYFUNCTION("""COMPUTED_VALUE"""),"em346223121th")</f>
        <v>em346223121th</v>
      </c>
      <c r="D324" s="1" t="str">
        <f ca="1">IFERROR(__xludf.DUMMYFUNCTION("""COMPUTED_VALUE"""),"ทรงเดช")</f>
        <v>ทรงเดช</v>
      </c>
      <c r="E324" s="1" t="str">
        <f ca="1">IFERROR(__xludf.DUMMYFUNCTION("""COMPUTED_VALUE"""),"0818472203")</f>
        <v>0818472203</v>
      </c>
      <c r="F324" s="1" t="str">
        <f ca="1">IFERROR(__xludf.DUMMYFUNCTION("""COMPUTED_VALUE"""),"88/21 ลาซาล105 ")</f>
        <v xml:space="preserve">88/21 ลาซาล105 </v>
      </c>
      <c r="G324" s="1" t="str">
        <f ca="1">IFERROR(__xludf.DUMMYFUNCTION("""COMPUTED_VALUE"""),"ตรวจสอบการนำจ่าย")</f>
        <v>ตรวจสอบการนำจ่าย</v>
      </c>
      <c r="H324" s="1" t="str">
        <f ca="1">IFERROR(__xludf.DUMMYFUNCTION("""COMPUTED_VALUE"""),"ไม่เตรียมการนำจ่าย")</f>
        <v>ไม่เตรียมการนำจ่าย</v>
      </c>
      <c r="I324" s="1" t="str">
        <f ca="1">IFERROR(__xludf.DUMMYFUNCTION("""COMPUTED_VALUE"""),"แจ้งเจ้าที่ที่เกี่ยวข้องแล้ว")</f>
        <v>แจ้งเจ้าที่ที่เกี่ยวข้องแล้ว</v>
      </c>
      <c r="J324" s="1" t="str">
        <f ca="1">IFERROR(__xludf.DUMMYFUNCTION("""COMPUTED_VALUE"""),"DB1")</f>
        <v>DB1</v>
      </c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ht="15.75" customHeight="1" x14ac:dyDescent="0.2">
      <c r="A325" s="8">
        <f ca="1">IFERROR(__xludf.DUMMYFUNCTION("""COMPUTED_VALUE"""),45275.4874848148)</f>
        <v>45275.487484814803</v>
      </c>
      <c r="B325" s="1" t="str">
        <f ca="1">IFERROR(__xludf.DUMMYFUNCTION("""COMPUTED_VALUE"""),"CEC")</f>
        <v>CEC</v>
      </c>
      <c r="C325" s="1" t="str">
        <f ca="1">IFERROR(__xludf.DUMMYFUNCTION("""COMPUTED_VALUE"""),"ea726948564th")</f>
        <v>ea726948564th</v>
      </c>
      <c r="D325" s="1" t="str">
        <f ca="1">IFERROR(__xludf.DUMMYFUNCTION("""COMPUTED_VALUE"""),"คุุณ รัตติกาล")</f>
        <v>คุุณ รัตติกาล</v>
      </c>
      <c r="E325" s="1" t="str">
        <f ca="1">IFERROR(__xludf.DUMMYFUNCTION("""COMPUTED_VALUE"""),"0841422412")</f>
        <v>0841422412</v>
      </c>
      <c r="F325" s="1" t="str">
        <f ca="1">IFERROR(__xludf.DUMMYFUNCTION("""COMPUTED_VALUE"""),"25/408 บางนาตราด 23")</f>
        <v>25/408 บางนาตราด 23</v>
      </c>
      <c r="G325" s="1" t="str">
        <f ca="1">IFERROR(__xludf.DUMMYFUNCTION("""COMPUTED_VALUE"""),"นำจ่ายใหม่")</f>
        <v>นำจ่ายใหม่</v>
      </c>
      <c r="H325" s="1" t="str">
        <f ca="1">IFERROR(__xludf.DUMMYFUNCTION("""COMPUTED_VALUE"""),"เป็น cod เก็บเงิน 400 บาท")</f>
        <v>เป็น cod เก็บเงิน 400 บาท</v>
      </c>
      <c r="I325" s="1" t="str">
        <f ca="1">IFERROR(__xludf.DUMMYFUNCTION("""COMPUTED_VALUE"""),"แจ้งเจ้าหน้านำจ่ายแล้ว")</f>
        <v>แจ้งเจ้าหน้านำจ่ายแล้ว</v>
      </c>
      <c r="J325" s="1" t="str">
        <f ca="1">IFERROR(__xludf.DUMMYFUNCTION("""COMPUTED_VALUE"""),"DB2")</f>
        <v>DB2</v>
      </c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 ht="15.75" customHeight="1" x14ac:dyDescent="0.2">
      <c r="A326" s="8">
        <f ca="1">IFERROR(__xludf.DUMMYFUNCTION("""COMPUTED_VALUE"""),45275.5092594907)</f>
        <v>45275.509259490696</v>
      </c>
      <c r="B326" s="1" t="str">
        <f ca="1">IFERROR(__xludf.DUMMYFUNCTION("""COMPUTED_VALUE"""),"CEC")</f>
        <v>CEC</v>
      </c>
      <c r="C326" s="1" t="str">
        <f ca="1">IFERROR(__xludf.DUMMYFUNCTION("""COMPUTED_VALUE"""),"eb779244669th- eb779244195th")</f>
        <v>eb779244669th- eb779244195th</v>
      </c>
      <c r="D326" s="1" t="str">
        <f ca="1">IFERROR(__xludf.DUMMYFUNCTION("""COMPUTED_VALUE""")," คุณกิตติ")</f>
        <v xml:space="preserve"> คุณกิตติ</v>
      </c>
      <c r="E326" s="1" t="str">
        <f ca="1">IFERROR(__xludf.DUMMYFUNCTION("""COMPUTED_VALUE"""),"0818258913")</f>
        <v>0818258913</v>
      </c>
      <c r="F326" s="1" t="str">
        <f ca="1">IFERROR(__xludf.DUMMYFUNCTION("""COMPUTED_VALUE"""),"2/169 บางนาตราด 23")</f>
        <v>2/169 บางนาตราด 23</v>
      </c>
      <c r="G326" s="1" t="str">
        <f ca="1">IFERROR(__xludf.DUMMYFUNCTION("""COMPUTED_VALUE"""),"ตรวจสอบการนำจ่าย")</f>
        <v>ตรวจสอบการนำจ่าย</v>
      </c>
      <c r="H326" s="1" t="str">
        <f ca="1">IFERROR(__xludf.DUMMYFUNCTION("""COMPUTED_VALUE"""),"ผู้รับไม่ได้รับสิ่งของ")</f>
        <v>ผู้รับไม่ได้รับสิ่งของ</v>
      </c>
      <c r="I326" s="1" t="str">
        <f ca="1">IFERROR(__xludf.DUMMYFUNCTION("""COMPUTED_VALUE"""),"เจ้าหน้าที่นำจ่ายและซนจ แล้ว")</f>
        <v>เจ้าหน้าที่นำจ่ายและซนจ แล้ว</v>
      </c>
      <c r="J326" s="1" t="str">
        <f ca="1">IFERROR(__xludf.DUMMYFUNCTION("""COMPUTED_VALUE"""),"DB2")</f>
        <v>DB2</v>
      </c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 ht="15.75" customHeight="1" x14ac:dyDescent="0.2">
      <c r="A327" s="8">
        <f ca="1">IFERROR(__xludf.DUMMYFUNCTION("""COMPUTED_VALUE"""),45275.6487501157)</f>
        <v>45275.648750115703</v>
      </c>
      <c r="B327" s="1" t="str">
        <f ca="1">IFERROR(__xludf.DUMMYFUNCTION("""COMPUTED_VALUE"""),"CEC")</f>
        <v>CEC</v>
      </c>
      <c r="C327" s="1" t="str">
        <f ca="1">IFERROR(__xludf.DUMMYFUNCTION("""COMPUTED_VALUE"""),"eb779244669th")</f>
        <v>eb779244669th</v>
      </c>
      <c r="D327" s="1" t="str">
        <f ca="1">IFERROR(__xludf.DUMMYFUNCTION("""COMPUTED_VALUE"""),"กิิตติ")</f>
        <v>กิิตติ</v>
      </c>
      <c r="E327" s="1" t="str">
        <f ca="1">IFERROR(__xludf.DUMMYFUNCTION("""COMPUTED_VALUE"""),"0991615070")</f>
        <v>0991615070</v>
      </c>
      <c r="F327" s="1" t="str">
        <f ca="1">IFERROR(__xludf.DUMMYFUNCTION("""COMPUTED_VALUE"""),"2/169 บางนตราด 23")</f>
        <v>2/169 บางนตราด 23</v>
      </c>
      <c r="G327" s="1" t="str">
        <f ca="1">IFERROR(__xludf.DUMMYFUNCTION("""COMPUTED_VALUE"""),"ตรวจสอบการนำจ่าย")</f>
        <v>ตรวจสอบการนำจ่าย</v>
      </c>
      <c r="H327" s="1" t="str">
        <f ca="1">IFERROR(__xludf.DUMMYFUNCTION("""COMPUTED_VALUE"""),"ผู้รับไม่ได้รับจดหมาย")</f>
        <v>ผู้รับไม่ได้รับจดหมาย</v>
      </c>
      <c r="I327" s="1" t="str">
        <f ca="1">IFERROR(__xludf.DUMMYFUNCTION("""COMPUTED_VALUE"""),"แจ้งเจ้าหน้าที่นำจ่ายแล้ว")</f>
        <v>แจ้งเจ้าหน้าที่นำจ่ายแล้ว</v>
      </c>
      <c r="J327" s="1" t="str">
        <f ca="1">IFERROR(__xludf.DUMMYFUNCTION("""COMPUTED_VALUE"""),"DB2")</f>
        <v>DB2</v>
      </c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 ht="15.75" customHeight="1" x14ac:dyDescent="0.2">
      <c r="A328" s="8">
        <f ca="1">IFERROR(__xludf.DUMMYFUNCTION("""COMPUTED_VALUE"""),45275.65063375)</f>
        <v>45275.650633750003</v>
      </c>
      <c r="B328" s="1" t="str">
        <f ca="1">IFERROR(__xludf.DUMMYFUNCTION("""COMPUTED_VALUE"""),"CEC")</f>
        <v>CEC</v>
      </c>
      <c r="C328" s="1" t="str">
        <f ca="1">IFERROR(__xludf.DUMMYFUNCTION("""COMPUTED_VALUE"""),"rl871254053th")</f>
        <v>rl871254053th</v>
      </c>
      <c r="D328" s="1" t="str">
        <f ca="1">IFERROR(__xludf.DUMMYFUNCTION("""COMPUTED_VALUE"""),"บ. เทคแอนด์")</f>
        <v>บ. เทคแอนด์</v>
      </c>
      <c r="E328" s="1" t="str">
        <f ca="1">IFERROR(__xludf.DUMMYFUNCTION("""COMPUTED_VALUE"""),"0611466936")</f>
        <v>0611466936</v>
      </c>
      <c r="F328" s="1" t="str">
        <f ca="1">IFERROR(__xludf.DUMMYFUNCTION("""COMPUTED_VALUE"""),"5 บางนาตราด 23")</f>
        <v>5 บางนาตราด 23</v>
      </c>
      <c r="G328" s="1" t="str">
        <f ca="1">IFERROR(__xludf.DUMMYFUNCTION("""COMPUTED_VALUE"""),"ตรวจสอบการนำจ่าย")</f>
        <v>ตรวจสอบการนำจ่าย</v>
      </c>
      <c r="H328" s="1" t="str">
        <f ca="1">IFERROR(__xludf.DUMMYFUNCTION("""COMPUTED_VALUE"""),"ผู้รับไม่ ได้รับจดหมาย")</f>
        <v>ผู้รับไม่ ได้รับจดหมาย</v>
      </c>
      <c r="I328" s="1" t="str">
        <f ca="1">IFERROR(__xludf.DUMMYFUNCTION("""COMPUTED_VALUE"""),"แจ้งเจ้าหน้าที่นำจ่ายแล้ว")</f>
        <v>แจ้งเจ้าหน้าที่นำจ่ายแล้ว</v>
      </c>
      <c r="J328" s="1" t="str">
        <f ca="1">IFERROR(__xludf.DUMMYFUNCTION("""COMPUTED_VALUE"""),"DB2")</f>
        <v>DB2</v>
      </c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ht="15.75" customHeight="1" x14ac:dyDescent="0.2">
      <c r="A329" s="8">
        <f ca="1">IFERROR(__xludf.DUMMYFUNCTION("""COMPUTED_VALUE"""),45275.6526296875)</f>
        <v>45275.652629687502</v>
      </c>
      <c r="B329" s="1" t="str">
        <f ca="1">IFERROR(__xludf.DUMMYFUNCTION("""COMPUTED_VALUE"""),"CEC")</f>
        <v>CEC</v>
      </c>
      <c r="C329" s="1" t="str">
        <f ca="1">IFERROR(__xludf.DUMMYFUNCTION("""COMPUTED_VALUE"""),"ea551396584th")</f>
        <v>ea551396584th</v>
      </c>
      <c r="D329" s="1" t="str">
        <f ca="1">IFERROR(__xludf.DUMMYFUNCTION("""COMPUTED_VALUE"""),"ศักดิ์ศักดิ์")</f>
        <v>ศักดิ์ศักดิ์</v>
      </c>
      <c r="E329" s="1" t="str">
        <f ca="1">IFERROR(__xludf.DUMMYFUNCTION("""COMPUTED_VALUE"""),"0816126926")</f>
        <v>0816126926</v>
      </c>
      <c r="F329" s="1" t="str">
        <f ca="1">IFERROR(__xludf.DUMMYFUNCTION("""COMPUTED_VALUE"""),"585 วชิรธรรมสาธิต 57 แยก  7")</f>
        <v>585 วชิรธรรมสาธิต 57 แยก  7</v>
      </c>
      <c r="G329" s="1" t="str">
        <f ca="1">IFERROR(__xludf.DUMMYFUNCTION("""COMPUTED_VALUE"""),"นำจ่ายใหม่")</f>
        <v>นำจ่ายใหม่</v>
      </c>
      <c r="H329" s="1" t="str">
        <f ca="1">IFERROR(__xludf.DUMMYFUNCTION("""COMPUTED_VALUE"""),"ขอให้นำจ่ายใหม่ยกเลิกการทำคืน")</f>
        <v>ขอให้นำจ่ายใหม่ยกเลิกการทำคืน</v>
      </c>
      <c r="I329" s="1" t="str">
        <f ca="1">IFERROR(__xludf.DUMMYFUNCTION("""COMPUTED_VALUE"""),"แจ้งเจ้าหน้าที่นำจ่ายแล้ว")</f>
        <v>แจ้งเจ้าหน้าที่นำจ่ายแล้ว</v>
      </c>
      <c r="J329" s="1" t="str">
        <f ca="1">IFERROR(__xludf.DUMMYFUNCTION("""COMPUTED_VALUE"""),"DB3")</f>
        <v>DB3</v>
      </c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 ht="15.75" customHeight="1" x14ac:dyDescent="0.2">
      <c r="A330" s="8">
        <f ca="1">IFERROR(__xludf.DUMMYFUNCTION("""COMPUTED_VALUE"""),45275.6541935995)</f>
        <v>45275.654193599497</v>
      </c>
      <c r="B330" s="1" t="str">
        <f ca="1">IFERROR(__xludf.DUMMYFUNCTION("""COMPUTED_VALUE"""),"CEC")</f>
        <v>CEC</v>
      </c>
      <c r="C330" s="1" t="str">
        <f ca="1">IFERROR(__xludf.DUMMYFUNCTION("""COMPUTED_VALUE"""),"ec004172448th")</f>
        <v>ec004172448th</v>
      </c>
      <c r="D330" s="1" t="str">
        <f ca="1">IFERROR(__xludf.DUMMYFUNCTION("""COMPUTED_VALUE"""),"วิเชียร
")</f>
        <v xml:space="preserve">วิเชียร
</v>
      </c>
      <c r="E330" s="1" t="str">
        <f ca="1">IFERROR(__xludf.DUMMYFUNCTION("""COMPUTED_VALUE"""),"0859516637")</f>
        <v>0859516637</v>
      </c>
      <c r="F330" s="1" t="str">
        <f ca="1">IFERROR(__xludf.DUMMYFUNCTION("""COMPUTED_VALUE"""),"40 ซ.ประวิชและเพื่อน")</f>
        <v>40 ซ.ประวิชและเพื่อน</v>
      </c>
      <c r="G330" s="1" t="str">
        <f ca="1">IFERROR(__xludf.DUMMYFUNCTION("""COMPUTED_VALUE"""),"นำจ่ายใหม่")</f>
        <v>นำจ่ายใหม่</v>
      </c>
      <c r="H330" s="1" t="str">
        <f ca="1">IFERROR(__xludf.DUMMYFUNCTION("""COMPUTED_VALUE"""),"ติดต่อผู้รับไม่ได้")</f>
        <v>ติดต่อผู้รับไม่ได้</v>
      </c>
      <c r="I330" s="1" t="str">
        <f ca="1">IFERROR(__xludf.DUMMYFUNCTION("""COMPUTED_VALUE"""),"แจ้งเจ้าหน้าที่นำจ่ายแล้ว")</f>
        <v>แจ้งเจ้าหน้าที่นำจ่ายแล้ว</v>
      </c>
      <c r="J330" s="1" t="str">
        <f ca="1">IFERROR(__xludf.DUMMYFUNCTION("""COMPUTED_VALUE"""),"DB3")</f>
        <v>DB3</v>
      </c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 ht="15.75" customHeight="1" x14ac:dyDescent="0.2">
      <c r="A331" s="8">
        <f ca="1">IFERROR(__xludf.DUMMYFUNCTION("""COMPUTED_VALUE"""),45275.6877086574)</f>
        <v>45275.687708657402</v>
      </c>
      <c r="B331" s="1" t="str">
        <f ca="1">IFERROR(__xludf.DUMMYFUNCTION("""COMPUTED_VALUE"""),"CEC")</f>
        <v>CEC</v>
      </c>
      <c r="C331" s="1" t="str">
        <f ca="1">IFERROR(__xludf.DUMMYFUNCTION("""COMPUTED_VALUE"""),"ef237168852th")</f>
        <v>ef237168852th</v>
      </c>
      <c r="D331" s="1" t="str">
        <f ca="1">IFERROR(__xludf.DUMMYFUNCTION("""COMPUTED_VALUE"""),"สรินทร์ธร")</f>
        <v>สรินทร์ธร</v>
      </c>
      <c r="E331" s="1" t="str">
        <f ca="1">IFERROR(__xludf.DUMMYFUNCTION("""COMPUTED_VALUE"""),"0616169629")</f>
        <v>0616169629</v>
      </c>
      <c r="F331" s="1" t="str">
        <f ca="1">IFERROR(__xludf.DUMMYFUNCTION("""COMPUTED_VALUE"""),"29/13  บางนาตราด 20")</f>
        <v>29/13  บางนาตราด 20</v>
      </c>
      <c r="G331" s="1" t="str">
        <f ca="1">IFERROR(__xludf.DUMMYFUNCTION("""COMPUTED_VALUE"""),"ตรวจสอบการนำจ่าย")</f>
        <v>ตรวจสอบการนำจ่าย</v>
      </c>
      <c r="H331" s="1" t="str">
        <f ca="1">IFERROR(__xludf.DUMMYFUNCTION("""COMPUTED_VALUE"""),"ผู้รับไม่ได้รับจดหมาย")</f>
        <v>ผู้รับไม่ได้รับจดหมาย</v>
      </c>
      <c r="I331" s="1" t="str">
        <f ca="1">IFERROR(__xludf.DUMMYFUNCTION("""COMPUTED_VALUE"""),"แจ้งเจ้าหน้าที่นำจ่ายแล้ว")</f>
        <v>แจ้งเจ้าหน้าที่นำจ่ายแล้ว</v>
      </c>
      <c r="J331" s="1" t="str">
        <f ca="1">IFERROR(__xludf.DUMMYFUNCTION("""COMPUTED_VALUE"""),"DB1")</f>
        <v>DB1</v>
      </c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 ht="15.75" customHeight="1" x14ac:dyDescent="0.2">
      <c r="A332" s="8">
        <f ca="1">IFERROR(__xludf.DUMMYFUNCTION("""COMPUTED_VALUE"""),45275.6977776041)</f>
        <v>45275.697777604102</v>
      </c>
      <c r="B332" s="1" t="str">
        <f ca="1">IFERROR(__xludf.DUMMYFUNCTION("""COMPUTED_VALUE"""),"CEC")</f>
        <v>CEC</v>
      </c>
      <c r="C332" s="1" t="str">
        <f ca="1">IFERROR(__xludf.DUMMYFUNCTION("""COMPUTED_VALUE"""),"ef237168852th")</f>
        <v>ef237168852th</v>
      </c>
      <c r="D332" s="1" t="str">
        <f ca="1">IFERROR(__xludf.DUMMYFUNCTION("""COMPUTED_VALUE"""),"วรินทร์ธร")</f>
        <v>วรินทร์ธร</v>
      </c>
      <c r="E332" s="1" t="str">
        <f ca="1">IFERROR(__xludf.DUMMYFUNCTION("""COMPUTED_VALUE"""),"0616169629")</f>
        <v>0616169629</v>
      </c>
      <c r="F332" s="1" t="str">
        <f ca="1">IFERROR(__xludf.DUMMYFUNCTION("""COMPUTED_VALUE"""),"29/13  บางนาตราด 20")</f>
        <v>29/13  บางนาตราด 20</v>
      </c>
      <c r="G332" s="1" t="str">
        <f ca="1">IFERROR(__xludf.DUMMYFUNCTION("""COMPUTED_VALUE"""),"ตรวจสอบการนำจ่าย")</f>
        <v>ตรวจสอบการนำจ่าย</v>
      </c>
      <c r="H332" s="1" t="str">
        <f ca="1">IFERROR(__xludf.DUMMYFUNCTION("""COMPUTED_VALUE"""),"ผู้รับไม่ได้รับสิ่งของ")</f>
        <v>ผู้รับไม่ได้รับสิ่งของ</v>
      </c>
      <c r="I332" s="1" t="str">
        <f ca="1">IFERROR(__xludf.DUMMYFUNCTION("""COMPUTED_VALUE"""),"แจ้งเจ้าหน้าที่นำจ่ายแล้ว")</f>
        <v>แจ้งเจ้าหน้าที่นำจ่ายแล้ว</v>
      </c>
      <c r="J332" s="1" t="str">
        <f ca="1">IFERROR(__xludf.DUMMYFUNCTION("""COMPUTED_VALUE"""),"DB1")</f>
        <v>DB1</v>
      </c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 ht="15.75" customHeight="1" x14ac:dyDescent="0.2">
      <c r="A333" s="8">
        <f ca="1">IFERROR(__xludf.DUMMYFUNCTION("""COMPUTED_VALUE"""),45276.4351193981)</f>
        <v>45276.435119398098</v>
      </c>
      <c r="B333" s="1" t="str">
        <f ca="1">IFERROR(__xludf.DUMMYFUNCTION("""COMPUTED_VALUE"""),"CEC")</f>
        <v>CEC</v>
      </c>
      <c r="C333" s="1" t="str">
        <f ca="1">IFERROR(__xludf.DUMMYFUNCTION("""COMPUTED_VALUE"""),"ek033217328th")</f>
        <v>ek033217328th</v>
      </c>
      <c r="D333" s="1" t="str">
        <f ca="1">IFERROR(__xludf.DUMMYFUNCTION("""COMPUTED_VALUE"""),"เกวชาพร")</f>
        <v>เกวชาพร</v>
      </c>
      <c r="E333" s="1" t="str">
        <f ca="1">IFERROR(__xludf.DUMMYFUNCTION("""COMPUTED_VALUE"""),"0629799426")</f>
        <v>0629799426</v>
      </c>
      <c r="F333" s="1" t="str">
        <f ca="1">IFERROR(__xludf.DUMMYFUNCTION("""COMPUTED_VALUE"""),"59 ปุณวิธี11 ")</f>
        <v xml:space="preserve">59 ปุณวิธี11 </v>
      </c>
      <c r="G333" s="1" t="str">
        <f ca="1">IFERROR(__xludf.DUMMYFUNCTION("""COMPUTED_VALUE"""),"ตรวจสอบการนำจ่าย")</f>
        <v>ตรวจสอบการนำจ่าย</v>
      </c>
      <c r="H333" s="1" t="str">
        <f ca="1">IFERROR(__xludf.DUMMYFUNCTION("""COMPUTED_VALUE"""),"ผู้รับไม่ได้รับสิ่งของ")</f>
        <v>ผู้รับไม่ได้รับสิ่งของ</v>
      </c>
      <c r="I333" s="1" t="str">
        <f ca="1">IFERROR(__xludf.DUMMYFUNCTION("""COMPUTED_VALUE"""),"แจ้งเจ้าหน้าที่นำจ่ายแล้ว")</f>
        <v>แจ้งเจ้าหน้าที่นำจ่ายแล้ว</v>
      </c>
      <c r="J333" s="1" t="str">
        <f ca="1">IFERROR(__xludf.DUMMYFUNCTION("""COMPUTED_VALUE"""),"DB3")</f>
        <v>DB3</v>
      </c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 ht="15.75" customHeight="1" x14ac:dyDescent="0.2">
      <c r="A334" s="8">
        <f ca="1">IFERROR(__xludf.DUMMYFUNCTION("""COMPUTED_VALUE"""),45276.4374992013)</f>
        <v>45276.437499201304</v>
      </c>
      <c r="B334" s="1" t="str">
        <f ca="1">IFERROR(__xludf.DUMMYFUNCTION("""COMPUTED_VALUE"""),"CEC")</f>
        <v>CEC</v>
      </c>
      <c r="C334" s="1" t="str">
        <f ca="1">IFERROR(__xludf.DUMMYFUNCTION("""COMPUTED_VALUE"""),"ej221094542th")</f>
        <v>ej221094542th</v>
      </c>
      <c r="D334" s="1" t="str">
        <f ca="1">IFERROR(__xludf.DUMMYFUNCTION("""COMPUTED_VALUE"""),"วิเชียร")</f>
        <v>วิเชียร</v>
      </c>
      <c r="E334" s="1" t="str">
        <f ca="1">IFERROR(__xludf.DUMMYFUNCTION("""COMPUTED_VALUE"""),"0634713613")</f>
        <v>0634713613</v>
      </c>
      <c r="F334" s="1" t="str">
        <f ca="1">IFERROR(__xludf.DUMMYFUNCTION("""COMPUTED_VALUE"""),"1796 สนง เนวรัตน์")</f>
        <v>1796 สนง เนวรัตน์</v>
      </c>
      <c r="G334" s="1" t="str">
        <f ca="1">IFERROR(__xludf.DUMMYFUNCTION("""COMPUTED_VALUE"""),"นำจ่ายใหม่")</f>
        <v>นำจ่ายใหม่</v>
      </c>
      <c r="H334" s="1" t="str">
        <f ca="1">IFERROR(__xludf.DUMMYFUNCTION("""COMPUTED_VALUE"""),"ติดต่อผู้รับไม่ได้")</f>
        <v>ติดต่อผู้รับไม่ได้</v>
      </c>
      <c r="I334" s="1" t="str">
        <f ca="1">IFERROR(__xludf.DUMMYFUNCTION("""COMPUTED_VALUE"""),"แจ้งเจ้าหน้ที่นำจ่ายแล ้ว")</f>
        <v>แจ้งเจ้าหน้ที่นำจ่ายแล ้ว</v>
      </c>
      <c r="J334" s="1" t="str">
        <f ca="1">IFERROR(__xludf.DUMMYFUNCTION("""COMPUTED_VALUE"""),"นำจ่ายรถยนต์")</f>
        <v>นำจ่ายรถยนต์</v>
      </c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 ht="15.75" customHeight="1" x14ac:dyDescent="0.2">
      <c r="A335" s="8">
        <f ca="1">IFERROR(__xludf.DUMMYFUNCTION("""COMPUTED_VALUE"""),45276.4806609722)</f>
        <v>45276.4806609722</v>
      </c>
      <c r="B335" s="1" t="str">
        <f ca="1">IFERROR(__xludf.DUMMYFUNCTION("""COMPUTED_VALUE"""),"CEC")</f>
        <v>CEC</v>
      </c>
      <c r="C335" s="1" t="str">
        <f ca="1">IFERROR(__xludf.DUMMYFUNCTION("""COMPUTED_VALUE"""),"em105002448th")</f>
        <v>em105002448th</v>
      </c>
      <c r="D335" s="1" t="str">
        <f ca="1">IFERROR(__xludf.DUMMYFUNCTION("""COMPUTED_VALUE"""),"ณัฐภัทร")</f>
        <v>ณัฐภัทร</v>
      </c>
      <c r="E335" s="1" t="str">
        <f ca="1">IFERROR(__xludf.DUMMYFUNCTION("""COMPUTED_VALUE"""),"0971107997")</f>
        <v>0971107997</v>
      </c>
      <c r="F335" s="1" t="str">
        <f ca="1">IFERROR(__xludf.DUMMYFUNCTION("""COMPUTED_VALUE"""),"9/249 ไอดิโอมิกซ์  อุดมสุข103")</f>
        <v>9/249 ไอดิโอมิกซ์  อุดมสุข103</v>
      </c>
      <c r="G335" s="1" t="str">
        <f ca="1">IFERROR(__xludf.DUMMYFUNCTION("""COMPUTED_VALUE"""),"ตรวจสอบการนำจ่าย")</f>
        <v>ตรวจสอบการนำจ่าย</v>
      </c>
      <c r="H335" s="1" t="str">
        <f ca="1">IFERROR(__xludf.DUMMYFUNCTION("""COMPUTED_VALUE"""),"ผู้รับไม่ได้รับสิ่งของ")</f>
        <v>ผู้รับไม่ได้รับสิ่งของ</v>
      </c>
      <c r="I335" s="1" t="str">
        <f ca="1">IFERROR(__xludf.DUMMYFUNCTION("""COMPUTED_VALUE"""),"แจ้งเจ้าหน้าที่นำจ่ายแล้ว")</f>
        <v>แจ้งเจ้าหน้าที่นำจ่ายแล้ว</v>
      </c>
      <c r="J335" s="1" t="str">
        <f ca="1">IFERROR(__xludf.DUMMYFUNCTION("""COMPUTED_VALUE"""),"นำจ่ายรถยนต์")</f>
        <v>นำจ่ายรถยนต์</v>
      </c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 ht="15.75" customHeight="1" x14ac:dyDescent="0.2">
      <c r="A336" s="8">
        <f ca="1">IFERROR(__xludf.DUMMYFUNCTION("""COMPUTED_VALUE"""),45276.481870324)</f>
        <v>45276.481870324002</v>
      </c>
      <c r="B336" s="1" t="str">
        <f ca="1">IFERROR(__xludf.DUMMYFUNCTION("""COMPUTED_VALUE"""),"CEC")</f>
        <v>CEC</v>
      </c>
      <c r="C336" s="1" t="str">
        <f ca="1">IFERROR(__xludf.DUMMYFUNCTION("""COMPUTED_VALUE"""),"ed956536908th")</f>
        <v>ed956536908th</v>
      </c>
      <c r="D336" s="1" t="str">
        <f ca="1">IFERROR(__xludf.DUMMYFUNCTION("""COMPUTED_VALUE"""),"จินตนา")</f>
        <v>จินตนา</v>
      </c>
      <c r="E336" s="1" t="str">
        <f ca="1">IFERROR(__xludf.DUMMYFUNCTION("""COMPUTED_VALUE"""),"0987924228")</f>
        <v>0987924228</v>
      </c>
      <c r="F336" s="1" t="str">
        <f ca="1">IFERROR(__xludf.DUMMYFUNCTION("""COMPUTED_VALUE"""),"9/68  อุดมสุข 103")</f>
        <v>9/68  อุดมสุข 103</v>
      </c>
      <c r="G336" s="1" t="str">
        <f ca="1">IFERROR(__xludf.DUMMYFUNCTION("""COMPUTED_VALUE"""),"นำจ่ายใหม่")</f>
        <v>นำจ่ายใหม่</v>
      </c>
      <c r="H336" s="1" t="str">
        <f ca="1">IFERROR(__xludf.DUMMYFUNCTION("""COMPUTED_VALUE"""),"บ้านปิด")</f>
        <v>บ้านปิด</v>
      </c>
      <c r="I336" s="1" t="str">
        <f ca="1">IFERROR(__xludf.DUMMYFUNCTION("""COMPUTED_VALUE"""),"แจ้งเจ้าหน้าที่นำจ่ายแล้ว")</f>
        <v>แจ้งเจ้าหน้าที่นำจ่ายแล้ว</v>
      </c>
      <c r="J336" s="1" t="str">
        <f ca="1">IFERROR(__xludf.DUMMYFUNCTION("""COMPUTED_VALUE"""),"นำจ่ายรถยนต์")</f>
        <v>นำจ่ายรถยนต์</v>
      </c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 ht="15.75" customHeight="1" x14ac:dyDescent="0.2">
      <c r="A337" s="8">
        <f ca="1">IFERROR(__xludf.DUMMYFUNCTION("""COMPUTED_VALUE"""),45276.5164659259)</f>
        <v>45276.516465925903</v>
      </c>
      <c r="B337" s="1" t="str">
        <f ca="1">IFERROR(__xludf.DUMMYFUNCTION("""COMPUTED_VALUE"""),"CEC")</f>
        <v>CEC</v>
      </c>
      <c r="C337" s="1" t="str">
        <f ca="1">IFERROR(__xludf.DUMMYFUNCTION("""COMPUTED_VALUE"""),"ef237870734th")</f>
        <v>ef237870734th</v>
      </c>
      <c r="D337" s="1" t="str">
        <f ca="1">IFERROR(__xludf.DUMMYFUNCTION("""COMPUTED_VALUE"""),"มาลี")</f>
        <v>มาลี</v>
      </c>
      <c r="E337" s="1" t="str">
        <f ca="1">IFERROR(__xludf.DUMMYFUNCTION("""COMPUTED_VALUE"""),"0629429515")</f>
        <v>0629429515</v>
      </c>
      <c r="F337" s="1" t="str">
        <f ca="1">IFERROR(__xludf.DUMMYFUNCTION("""COMPUTED_VALUE"""),"1207/61")</f>
        <v>1207/61</v>
      </c>
      <c r="G337" s="1" t="str">
        <f ca="1">IFERROR(__xludf.DUMMYFUNCTION("""COMPUTED_VALUE"""),"นำจ่ายใหม่")</f>
        <v>นำจ่ายใหม่</v>
      </c>
      <c r="H337" s="1" t="str">
        <f ca="1">IFERROR(__xludf.DUMMYFUNCTION("""COMPUTED_VALUE"""),"บ้ายปิด")</f>
        <v>บ้ายปิด</v>
      </c>
      <c r="I337" s="1" t="str">
        <f ca="1">IFERROR(__xludf.DUMMYFUNCTION("""COMPUTED_VALUE"""),"แจ้งเจ้าหน้ที่นำจ่ายแล้ว")</f>
        <v>แจ้งเจ้าหน้ที่นำจ่ายแล้ว</v>
      </c>
      <c r="J337" s="1" t="str">
        <f ca="1">IFERROR(__xludf.DUMMYFUNCTION("""COMPUTED_VALUE"""),"นำจ่ายรถยนต์")</f>
        <v>นำจ่ายรถยนต์</v>
      </c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 ht="15.75" customHeight="1" x14ac:dyDescent="0.2">
      <c r="A338" s="8">
        <f ca="1">IFERROR(__xludf.DUMMYFUNCTION("""COMPUTED_VALUE"""),45276.5612959259)</f>
        <v>45276.561295925902</v>
      </c>
      <c r="B338" s="1" t="str">
        <f ca="1">IFERROR(__xludf.DUMMYFUNCTION("""COMPUTED_VALUE"""),"CEC")</f>
        <v>CEC</v>
      </c>
      <c r="C338" s="1" t="str">
        <f ca="1">IFERROR(__xludf.DUMMYFUNCTION("""COMPUTED_VALUE"""),"ed925285569th")</f>
        <v>ed925285569th</v>
      </c>
      <c r="D338" s="1" t="str">
        <f ca="1">IFERROR(__xludf.DUMMYFUNCTION("""COMPUTED_VALUE"""),"กาญจนา")</f>
        <v>กาญจนา</v>
      </c>
      <c r="E338" s="1" t="str">
        <f ca="1">IFERROR(__xludf.DUMMYFUNCTION("""COMPUTED_VALUE"""),"0863001818")</f>
        <v>0863001818</v>
      </c>
      <c r="F338" s="1" t="str">
        <f ca="1">IFERROR(__xludf.DUMMYFUNCTION("""COMPUTED_VALUE"""),"551 อุดมสุข 26 แยก 37")</f>
        <v>551 อุดมสุข 26 แยก 37</v>
      </c>
      <c r="G338" s="1" t="str">
        <f ca="1">IFERROR(__xludf.DUMMYFUNCTION("""COMPUTED_VALUE"""),"นำจ่ายใหม่")</f>
        <v>นำจ่ายใหม่</v>
      </c>
      <c r="H338" s="1" t="str">
        <f ca="1">IFERROR(__xludf.DUMMYFUNCTION("""COMPUTED_VALUE"""),"บ้านปิด")</f>
        <v>บ้านปิด</v>
      </c>
      <c r="I338" s="1" t="str">
        <f ca="1">IFERROR(__xludf.DUMMYFUNCTION("""COMPUTED_VALUE"""),"แจ้งหน้านำจ่ายแล้ว")</f>
        <v>แจ้งหน้านำจ่ายแล้ว</v>
      </c>
      <c r="J338" s="1" t="str">
        <f ca="1">IFERROR(__xludf.DUMMYFUNCTION("""COMPUTED_VALUE"""),"DB2")</f>
        <v>DB2</v>
      </c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 ht="15.75" customHeight="1" x14ac:dyDescent="0.2">
      <c r="A339" s="8">
        <f ca="1">IFERROR(__xludf.DUMMYFUNCTION("""COMPUTED_VALUE"""),45277.6415361226)</f>
        <v>45277.641536122603</v>
      </c>
      <c r="B339" s="1" t="str">
        <f ca="1">IFERROR(__xludf.DUMMYFUNCTION("""COMPUTED_VALUE"""),"CEC")</f>
        <v>CEC</v>
      </c>
      <c r="C339" s="1" t="str">
        <f ca="1">IFERROR(__xludf.DUMMYFUNCTION("""COMPUTED_VALUE"""),"rl887306500th")</f>
        <v>rl887306500th</v>
      </c>
      <c r="D339" s="1" t="str">
        <f ca="1">IFERROR(__xludf.DUMMYFUNCTION("""COMPUTED_VALUE"""),"มารินทร์")</f>
        <v>มารินทร์</v>
      </c>
      <c r="E339" s="1" t="str">
        <f ca="1">IFERROR(__xludf.DUMMYFUNCTION("""COMPUTED_VALUE"""),"097929466")</f>
        <v>097929466</v>
      </c>
      <c r="F339" s="1" t="str">
        <f ca="1">IFERROR(__xludf.DUMMYFUNCTION("""COMPUTED_VALUE"""),"สนง. ขายออรีจิ้น  อุดมสุข 103 ซ 39")</f>
        <v>สนง. ขายออรีจิ้น  อุดมสุข 103 ซ 39</v>
      </c>
      <c r="G339" s="1" t="str">
        <f ca="1">IFERROR(__xludf.DUMMYFUNCTION("""COMPUTED_VALUE"""),"ตรวจสอบการนำจ่าย")</f>
        <v>ตรวจสอบการนำจ่าย</v>
      </c>
      <c r="H339" s="1" t="str">
        <f ca="1">IFERROR(__xludf.DUMMYFUNCTION("""COMPUTED_VALUE"""),"ผู้รับไม่ได้รับสิ่งของ")</f>
        <v>ผู้รับไม่ได้รับสิ่งของ</v>
      </c>
      <c r="I339" s="1" t="str">
        <f ca="1">IFERROR(__xludf.DUMMYFUNCTION("""COMPUTED_VALUE"""),"แจ้งเจ้าหน้าที่นไจ่ายแล้วครับ")</f>
        <v>แจ้งเจ้าหน้าที่นไจ่ายแล้วครับ</v>
      </c>
      <c r="J339" s="1" t="str">
        <f ca="1">IFERROR(__xludf.DUMMYFUNCTION("""COMPUTED_VALUE"""),"DB3")</f>
        <v>DB3</v>
      </c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 ht="15.75" customHeight="1" x14ac:dyDescent="0.2">
      <c r="A340" s="8">
        <f ca="1">IFERROR(__xludf.DUMMYFUNCTION("""COMPUTED_VALUE"""),45277.6433073495)</f>
        <v>45277.643307349499</v>
      </c>
      <c r="B340" s="1" t="str">
        <f ca="1">IFERROR(__xludf.DUMMYFUNCTION("""COMPUTED_VALUE"""),"CEC")</f>
        <v>CEC</v>
      </c>
      <c r="C340" s="1" t="str">
        <f ca="1">IFERROR(__xludf.DUMMYFUNCTION("""COMPUTED_VALUE"""),"ri927096948th")</f>
        <v>ri927096948th</v>
      </c>
      <c r="D340" s="1" t="str">
        <f ca="1">IFERROR(__xludf.DUMMYFUNCTION("""COMPUTED_VALUE"""),"กาญสิตา")</f>
        <v>กาญสิตา</v>
      </c>
      <c r="E340" s="1" t="str">
        <f ca="1">IFERROR(__xludf.DUMMYFUNCTION("""COMPUTED_VALUE"""),"0836103855")</f>
        <v>0836103855</v>
      </c>
      <c r="F340" s="1" t="str">
        <f ca="1">IFERROR(__xludf.DUMMYFUNCTION("""COMPUTED_VALUE"""),"288  ซ.กุศลศิลป์")</f>
        <v>288  ซ.กุศลศิลป์</v>
      </c>
      <c r="G340" s="1" t="str">
        <f ca="1">IFERROR(__xludf.DUMMYFUNCTION("""COMPUTED_VALUE"""),"นำจ่ายใหม่")</f>
        <v>นำจ่ายใหม่</v>
      </c>
      <c r="H340" s="1" t="str">
        <f ca="1">IFERROR(__xludf.DUMMYFUNCTION("""COMPUTED_VALUE"""),"บ้านปิด")</f>
        <v>บ้านปิด</v>
      </c>
      <c r="I340" s="1" t="str">
        <f ca="1">IFERROR(__xludf.DUMMYFUNCTION("""COMPUTED_VALUE"""),"แจ้งเจ้าหน้าที่นำจ่ายแล้ว")</f>
        <v>แจ้งเจ้าหน้าที่นำจ่ายแล้ว</v>
      </c>
      <c r="J340" s="1" t="str">
        <f ca="1">IFERROR(__xludf.DUMMYFUNCTION("""COMPUTED_VALUE"""),"DB2")</f>
        <v>DB2</v>
      </c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 ht="15.75" customHeight="1" x14ac:dyDescent="0.2">
      <c r="A341" s="8">
        <f ca="1">IFERROR(__xludf.DUMMYFUNCTION("""COMPUTED_VALUE"""),45277.6448787615)</f>
        <v>45277.644878761501</v>
      </c>
      <c r="B341" s="1" t="str">
        <f ca="1">IFERROR(__xludf.DUMMYFUNCTION("""COMPUTED_VALUE"""),"CEC")</f>
        <v>CEC</v>
      </c>
      <c r="C341" s="1" t="str">
        <f ca="1">IFERROR(__xludf.DUMMYFUNCTION("""COMPUTED_VALUE"""),"ej302659289th")</f>
        <v>ej302659289th</v>
      </c>
      <c r="D341" s="1" t="str">
        <f ca="1">IFERROR(__xludf.DUMMYFUNCTION("""COMPUTED_VALUE"""),"ลาวัลย์")</f>
        <v>ลาวัลย์</v>
      </c>
      <c r="E341" s="1" t="str">
        <f ca="1">IFERROR(__xludf.DUMMYFUNCTION("""COMPUTED_VALUE"""),"0812550907")</f>
        <v>0812550907</v>
      </c>
      <c r="F341" s="1" t="str">
        <f ca="1">IFERROR(__xludf.DUMMYFUNCTION("""COMPUTED_VALUE"""),"1118 ปากซอย บางนาตราด 22")</f>
        <v>1118 ปากซอย บางนาตราด 22</v>
      </c>
      <c r="G341" s="1" t="str">
        <f ca="1">IFERROR(__xludf.DUMMYFUNCTION("""COMPUTED_VALUE"""),"นำจ่ายใหม่")</f>
        <v>นำจ่ายใหม่</v>
      </c>
      <c r="H341" s="1" t="str">
        <f ca="1">IFERROR(__xludf.DUMMYFUNCTION("""COMPUTED_VALUE"""),"บ้านปิด")</f>
        <v>บ้านปิด</v>
      </c>
      <c r="I341" s="1" t="str">
        <f ca="1">IFERROR(__xludf.DUMMYFUNCTION("""COMPUTED_VALUE"""),"แจ้งเจ้าหน้าที่นำจ่ายแล้ว")</f>
        <v>แจ้งเจ้าหน้าที่นำจ่ายแล้ว</v>
      </c>
      <c r="J341" s="1" t="str">
        <f ca="1">IFERROR(__xludf.DUMMYFUNCTION("""COMPUTED_VALUE"""),"DB1")</f>
        <v>DB1</v>
      </c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 ht="15.75" customHeight="1" x14ac:dyDescent="0.2">
      <c r="A342" s="8">
        <f ca="1">IFERROR(__xludf.DUMMYFUNCTION("""COMPUTED_VALUE"""),45277.6846724884)</f>
        <v>45277.684672488402</v>
      </c>
      <c r="B342" s="1" t="str">
        <f ca="1">IFERROR(__xludf.DUMMYFUNCTION("""COMPUTED_VALUE"""),"CEC")</f>
        <v>CEC</v>
      </c>
      <c r="C342" s="1" t="str">
        <f ca="1">IFERROR(__xludf.DUMMYFUNCTION("""COMPUTED_VALUE""")," ed108793388th")</f>
        <v xml:space="preserve"> ed108793388th</v>
      </c>
      <c r="D342" s="1" t="str">
        <f ca="1">IFERROR(__xludf.DUMMYFUNCTION("""COMPUTED_VALUE"""),"เจษฎาคม")</f>
        <v>เจษฎาคม</v>
      </c>
      <c r="E342" s="1" t="str">
        <f ca="1">IFERROR(__xludf.DUMMYFUNCTION("""COMPUTED_VALUE"""),"0839985077")</f>
        <v>0839985077</v>
      </c>
      <c r="F342" s="1" t="str">
        <f ca="1">IFERROR(__xludf.DUMMYFUNCTION("""COMPUTED_VALUE"""),"7/2  วชิรธรรมสาธิต 8 ซ101/1 ")</f>
        <v xml:space="preserve">7/2  วชิรธรรมสาธิต 8 ซ101/1 </v>
      </c>
      <c r="G342" s="1" t="str">
        <f ca="1">IFERROR(__xludf.DUMMYFUNCTION("""COMPUTED_VALUE"""),"นำจ่ายใหม่")</f>
        <v>นำจ่ายใหม่</v>
      </c>
      <c r="H342" s="1" t="str">
        <f ca="1">IFERROR(__xludf.DUMMYFUNCTION("""COMPUTED_VALUE"""),"บ้านปิด")</f>
        <v>บ้านปิด</v>
      </c>
      <c r="I342" s="1" t="str">
        <f ca="1">IFERROR(__xludf.DUMMYFUNCTION("""COMPUTED_VALUE"""),"แจ้งหน้าที่นำจ่ายแล้ว")</f>
        <v>แจ้งหน้าที่นำจ่ายแล้ว</v>
      </c>
      <c r="J342" s="1" t="str">
        <f ca="1">IFERROR(__xludf.DUMMYFUNCTION("""COMPUTED_VALUE"""),"DB2")</f>
        <v>DB2</v>
      </c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15.75" customHeight="1" x14ac:dyDescent="0.2">
      <c r="A343" s="8">
        <f ca="1">IFERROR(__xludf.DUMMYFUNCTION("""COMPUTED_VALUE"""),45278.4423318865)</f>
        <v>45278.442331886501</v>
      </c>
      <c r="B343" s="1" t="str">
        <f ca="1">IFERROR(__xludf.DUMMYFUNCTION("""COMPUTED_VALUE"""),"CEC")</f>
        <v>CEC</v>
      </c>
      <c r="C343" s="1" t="str">
        <f ca="1">IFERROR(__xludf.DUMMYFUNCTION("""COMPUTED_VALUE"""),"eh877476265th")</f>
        <v>eh877476265th</v>
      </c>
      <c r="D343" s="1" t="str">
        <f ca="1">IFERROR(__xludf.DUMMYFUNCTION("""COMPUTED_VALUE"""),"ธนัญญา")</f>
        <v>ธนัญญา</v>
      </c>
      <c r="E343" s="1" t="str">
        <f ca="1">IFERROR(__xludf.DUMMYFUNCTION("""COMPUTED_VALUE"""),"0979296455")</f>
        <v>0979296455</v>
      </c>
      <c r="F343" s="1" t="str">
        <f ca="1">IFERROR(__xludf.DUMMYFUNCTION("""COMPUTED_VALUE"""),"1 อุดมสุข 56 แยก1")</f>
        <v>1 อุดมสุข 56 แยก1</v>
      </c>
      <c r="G343" s="1" t="str">
        <f ca="1">IFERROR(__xludf.DUMMYFUNCTION("""COMPUTED_VALUE"""),"ร้องเรียนบริการ")</f>
        <v>ร้องเรียนบริการ</v>
      </c>
      <c r="H343" s="1" t="str">
        <f ca="1">IFERROR(__xludf.DUMMYFUNCTION("""COMPUTED_VALUE"""),"ร้องเรียนว่าเจ้าหน้าที่โยนของเข้า่ไปในบ้าน(ห้ามโยน)")</f>
        <v>ร้องเรียนว่าเจ้าหน้าที่โยนของเข้า่ไปในบ้าน(ห้ามโยน)</v>
      </c>
      <c r="I343" s="1" t="str">
        <f ca="1">IFERROR(__xludf.DUMMYFUNCTION("""COMPUTED_VALUE"""),"แจ้งเจ้าหน้าที่นำจ่ายแล้ว")</f>
        <v>แจ้งเจ้าหน้าที่นำจ่ายแล้ว</v>
      </c>
      <c r="J343" s="1" t="str">
        <f ca="1">IFERROR(__xludf.DUMMYFUNCTION("""COMPUTED_VALUE"""),"DB2")</f>
        <v>DB2</v>
      </c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 ht="15.75" customHeight="1" x14ac:dyDescent="0.2">
      <c r="A344" s="8">
        <f ca="1">IFERROR(__xludf.DUMMYFUNCTION("""COMPUTED_VALUE"""),45278.4439346527)</f>
        <v>45278.4439346527</v>
      </c>
      <c r="B344" s="1" t="str">
        <f ca="1">IFERROR(__xludf.DUMMYFUNCTION("""COMPUTED_VALUE"""),"CEC")</f>
        <v>CEC</v>
      </c>
      <c r="C344" s="1" t="str">
        <f ca="1">IFERROR(__xludf.DUMMYFUNCTION("""COMPUTED_VALUE"""),"ed582690192th")</f>
        <v>ed582690192th</v>
      </c>
      <c r="D344" s="1" t="str">
        <f ca="1">IFERROR(__xludf.DUMMYFUNCTION("""COMPUTED_VALUE"""),"หนึ่งฤทัย")</f>
        <v>หนึ่งฤทัย</v>
      </c>
      <c r="E344" s="1" t="str">
        <f ca="1">IFERROR(__xludf.DUMMYFUNCTION("""COMPUTED_VALUE"""),"0842991888")</f>
        <v>0842991888</v>
      </c>
      <c r="F344" s="1" t="str">
        <f ca="1">IFERROR(__xludf.DUMMYFUNCTION("""COMPUTED_VALUE"""),"35/7 สุขุมวิทย์ 89/1")</f>
        <v>35/7 สุขุมวิทย์ 89/1</v>
      </c>
      <c r="G344" s="1" t="str">
        <f ca="1">IFERROR(__xludf.DUMMYFUNCTION("""COMPUTED_VALUE"""),"นำจ่ายใหม่")</f>
        <v>นำจ่ายใหม่</v>
      </c>
      <c r="H344" s="1" t="str">
        <f ca="1">IFERROR(__xludf.DUMMYFUNCTION("""COMPUTED_VALUE"""),"บ้านปิด")</f>
        <v>บ้านปิด</v>
      </c>
      <c r="I344" s="1" t="str">
        <f ca="1">IFERROR(__xludf.DUMMYFUNCTION("""COMPUTED_VALUE"""),"แจ้งเจ้าหน้าที่นำจ่ายแล้ว")</f>
        <v>แจ้งเจ้าหน้าที่นำจ่ายแล้ว</v>
      </c>
      <c r="J344" s="1" t="str">
        <f ca="1">IFERROR(__xludf.DUMMYFUNCTION("""COMPUTED_VALUE"""),"DB3")</f>
        <v>DB3</v>
      </c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 ht="15.75" customHeight="1" x14ac:dyDescent="0.2">
      <c r="A345" s="8">
        <f ca="1">IFERROR(__xludf.DUMMYFUNCTION("""COMPUTED_VALUE"""),45278.4454211921)</f>
        <v>45278.445421192097</v>
      </c>
      <c r="B345" s="1" t="str">
        <f ca="1">IFERROR(__xludf.DUMMYFUNCTION("""COMPUTED_VALUE"""),"CEC")</f>
        <v>CEC</v>
      </c>
      <c r="C345" s="1" t="str">
        <f ca="1">IFERROR(__xludf.DUMMYFUNCTION("""COMPUTED_VALUE"""),"rl811141023th")</f>
        <v>rl811141023th</v>
      </c>
      <c r="D345" s="1" t="str">
        <f ca="1">IFERROR(__xludf.DUMMYFUNCTION("""COMPUTED_VALUE"""),"นันทนา")</f>
        <v>นันทนา</v>
      </c>
      <c r="E345" s="1" t="str">
        <f ca="1">IFERROR(__xludf.DUMMYFUNCTION("""COMPUTED_VALUE"""),"0816199391")</f>
        <v>0816199391</v>
      </c>
      <c r="F345" s="1" t="str">
        <f ca="1">IFERROR(__xludf.DUMMYFUNCTION("""COMPUTED_VALUE"""),"10ซ.ปุณวิธี 10   ซ101")</f>
        <v>10ซ.ปุณวิธี 10   ซ101</v>
      </c>
      <c r="G345" s="1" t="str">
        <f ca="1">IFERROR(__xludf.DUMMYFUNCTION("""COMPUTED_VALUE"""),"นำจ่ายใหม่")</f>
        <v>นำจ่ายใหม่</v>
      </c>
      <c r="H345" s="1" t="str">
        <f ca="1">IFERROR(__xludf.DUMMYFUNCTION("""COMPUTED_VALUE"""),"บ้าปิด")</f>
        <v>บ้าปิด</v>
      </c>
      <c r="I345" s="1" t="str">
        <f ca="1">IFERROR(__xludf.DUMMYFUNCTION("""COMPUTED_VALUE"""),"แจ้งเจ้าหน้าที่นำจ่ายแล้ว")</f>
        <v>แจ้งเจ้าหน้าที่นำจ่ายแล้ว</v>
      </c>
      <c r="J345" s="1" t="str">
        <f ca="1">IFERROR(__xludf.DUMMYFUNCTION("""COMPUTED_VALUE"""),"DB3")</f>
        <v>DB3</v>
      </c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 ht="15.75" customHeight="1" x14ac:dyDescent="0.2">
      <c r="A346" s="8">
        <f ca="1">IFERROR(__xludf.DUMMYFUNCTION("""COMPUTED_VALUE"""),45278.4563558101)</f>
        <v>45278.4563558101</v>
      </c>
      <c r="B346" s="1" t="str">
        <f ca="1">IFERROR(__xludf.DUMMYFUNCTION("""COMPUTED_VALUE"""),"CEC")</f>
        <v>CEC</v>
      </c>
      <c r="C346" s="1" t="str">
        <f ca="1">IFERROR(__xludf.DUMMYFUNCTION("""COMPUTED_VALUE"""),"ef238012437th")</f>
        <v>ef238012437th</v>
      </c>
      <c r="D346" s="1" t="str">
        <f ca="1">IFERROR(__xludf.DUMMYFUNCTION("""COMPUTED_VALUE"""),"ปัณณภัสร")</f>
        <v>ปัณณภัสร</v>
      </c>
      <c r="E346" s="1" t="str">
        <f ca="1">IFERROR(__xludf.DUMMYFUNCTION("""COMPUTED_VALUE"""),"09392445515")</f>
        <v>09392445515</v>
      </c>
      <c r="F346" s="1" t="str">
        <f ca="1">IFERROR(__xludf.DUMMYFUNCTION("""COMPUTED_VALUE"""),"12  นภาลัย แยก 14")</f>
        <v>12  นภาลัย แยก 14</v>
      </c>
      <c r="G346" s="1" t="str">
        <f ca="1">IFERROR(__xludf.DUMMYFUNCTION("""COMPUTED_VALUE"""),"นำจ่ายใหม่")</f>
        <v>นำจ่ายใหม่</v>
      </c>
      <c r="H346" s="1" t="str">
        <f ca="1">IFERROR(__xludf.DUMMYFUNCTION("""COMPUTED_VALUE"""),"บ้านปิด")</f>
        <v>บ้านปิด</v>
      </c>
      <c r="I346" s="1" t="str">
        <f ca="1">IFERROR(__xludf.DUMMYFUNCTION("""COMPUTED_VALUE"""),"แจ้งเจ้าหน้าที่นำจ่ายแล้ว")</f>
        <v>แจ้งเจ้าหน้าที่นำจ่ายแล้ว</v>
      </c>
      <c r="J346" s="1" t="str">
        <f ca="1">IFERROR(__xludf.DUMMYFUNCTION("""COMPUTED_VALUE"""),"นำจ่ายรถยนต์")</f>
        <v>นำจ่ายรถยนต์</v>
      </c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 ht="15.75" customHeight="1" x14ac:dyDescent="0.2">
      <c r="A347" s="8">
        <f ca="1">IFERROR(__xludf.DUMMYFUNCTION("""COMPUTED_VALUE"""),45278.533446655)</f>
        <v>45278.533446654998</v>
      </c>
      <c r="B347" s="1" t="str">
        <f ca="1">IFERROR(__xludf.DUMMYFUNCTION("""COMPUTED_VALUE"""),"CEC")</f>
        <v>CEC</v>
      </c>
      <c r="C347" s="1" t="str">
        <f ca="1">IFERROR(__xludf.DUMMYFUNCTION("""COMPUTED_VALUE"""),"ed058618667th")</f>
        <v>ed058618667th</v>
      </c>
      <c r="D347" s="1" t="str">
        <f ca="1">IFERROR(__xludf.DUMMYFUNCTION("""COMPUTED_VALUE"""),"tangmay")</f>
        <v>tangmay</v>
      </c>
      <c r="E347" s="1" t="str">
        <f ca="1">IFERROR(__xludf.DUMMYFUNCTION("""COMPUTED_VALUE"""),"089-6998319")</f>
        <v>089-6998319</v>
      </c>
      <c r="F347" s="1" t="str">
        <f ca="1">IFERROR(__xludf.DUMMYFUNCTION("""COMPUTED_VALUE"""),"21 บางนา ตราด 34 ")</f>
        <v xml:space="preserve">21 บางนา ตราด 34 </v>
      </c>
      <c r="G347" s="1" t="str">
        <f ca="1">IFERROR(__xludf.DUMMYFUNCTION("""COMPUTED_VALUE"""),"ตรวจสอบการนำจ่าย")</f>
        <v>ตรวจสอบการนำจ่าย</v>
      </c>
      <c r="H347" s="1" t="str">
        <f ca="1">IFERROR(__xludf.DUMMYFUNCTION("""COMPUTED_VALUE"""),"-")</f>
        <v>-</v>
      </c>
      <c r="I347" s="1" t="str">
        <f ca="1">IFERROR(__xludf.DUMMYFUNCTION("""COMPUTED_VALUE"""),"-")</f>
        <v>-</v>
      </c>
      <c r="J347" s="1" t="str">
        <f ca="1">IFERROR(__xludf.DUMMYFUNCTION("""COMPUTED_VALUE"""),"DB1")</f>
        <v>DB1</v>
      </c>
      <c r="K347" s="1" t="str">
        <f ca="1">IFERROR(__xludf.DUMMYFUNCTION("""COMPUTED_VALUE"""),"ema10260evd1032")</f>
        <v>ema10260evd1032</v>
      </c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 ht="15.75" customHeight="1" x14ac:dyDescent="0.2">
      <c r="A348" s="8">
        <f ca="1">IFERROR(__xludf.DUMMYFUNCTION("""COMPUTED_VALUE"""),45278.5347172453)</f>
        <v>45278.534717245297</v>
      </c>
      <c r="B348" s="1" t="str">
        <f ca="1">IFERROR(__xludf.DUMMYFUNCTION("""COMPUTED_VALUE"""),"CEC")</f>
        <v>CEC</v>
      </c>
      <c r="C348" s="1" t="str">
        <f ca="1">IFERROR(__xludf.DUMMYFUNCTION("""COMPUTED_VALUE"""),"eb981915448th")</f>
        <v>eb981915448th</v>
      </c>
      <c r="D348" s="1" t="str">
        <f ca="1">IFERROR(__xludf.DUMMYFUNCTION("""COMPUTED_VALUE"""),"จตุพล")</f>
        <v>จตุพล</v>
      </c>
      <c r="E348" s="1" t="str">
        <f ca="1">IFERROR(__xludf.DUMMYFUNCTION("""COMPUTED_VALUE"""),"063-3914446")</f>
        <v>063-3914446</v>
      </c>
      <c r="F348" s="1" t="str">
        <f ca="1">IFERROR(__xludf.DUMMYFUNCTION("""COMPUTED_VALUE"""),"585 อาคารเซ็นทรัลบางนา")</f>
        <v>585 อาคารเซ็นทรัลบางนา</v>
      </c>
      <c r="G348" s="1" t="str">
        <f ca="1">IFERROR(__xludf.DUMMYFUNCTION("""COMPUTED_VALUE"""),"ตรวจสอบการนำจ่าย")</f>
        <v>ตรวจสอบการนำจ่าย</v>
      </c>
      <c r="H348" s="1" t="str">
        <f ca="1">IFERROR(__xludf.DUMMYFUNCTION("""COMPUTED_VALUE"""),"-")</f>
        <v>-</v>
      </c>
      <c r="I348" s="1" t="str">
        <f ca="1">IFERROR(__xludf.DUMMYFUNCTION("""COMPUTED_VALUE"""),"-")</f>
        <v>-</v>
      </c>
      <c r="J348" s="1" t="str">
        <f ca="1">IFERROR(__xludf.DUMMYFUNCTION("""COMPUTED_VALUE"""),"DB2")</f>
        <v>DB2</v>
      </c>
      <c r="K348" s="1" t="str">
        <f ca="1">IFERROR(__xludf.DUMMYFUNCTION("""COMPUTED_VALUE"""),"ems10260evd2009")</f>
        <v>ems10260evd2009</v>
      </c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 ht="15.75" customHeight="1" x14ac:dyDescent="0.2">
      <c r="A349" s="8">
        <f ca="1">IFERROR(__xludf.DUMMYFUNCTION("""COMPUTED_VALUE"""),45278.5358464467)</f>
        <v>45278.535846446699</v>
      </c>
      <c r="B349" s="1" t="str">
        <f ca="1">IFERROR(__xludf.DUMMYFUNCTION("""COMPUTED_VALUE"""),"CEC")</f>
        <v>CEC</v>
      </c>
      <c r="C349" s="1" t="str">
        <f ca="1">IFERROR(__xludf.DUMMYFUNCTION("""COMPUTED_VALUE"""),"re881788295th")</f>
        <v>re881788295th</v>
      </c>
      <c r="D349" s="1" t="str">
        <f ca="1">IFERROR(__xludf.DUMMYFUNCTION("""COMPUTED_VALUE"""),"ภัทรธีรา")</f>
        <v>ภัทรธีรา</v>
      </c>
      <c r="E349" s="1" t="str">
        <f ca="1">IFERROR(__xludf.DUMMYFUNCTION("""COMPUTED_VALUE"""),"081-4492868")</f>
        <v>081-4492868</v>
      </c>
      <c r="F349" s="1" t="str">
        <f ca="1">IFERROR(__xludf.DUMMYFUNCTION("""COMPUTED_VALUE"""),"754/80 บ้านรังสิยา2 ซ.101")</f>
        <v>754/80 บ้านรังสิยา2 ซ.101</v>
      </c>
      <c r="G349" s="1" t="str">
        <f ca="1">IFERROR(__xludf.DUMMYFUNCTION("""COMPUTED_VALUE"""),"ตรวจสอบการนำจ่าย")</f>
        <v>ตรวจสอบการนำจ่าย</v>
      </c>
      <c r="H349" s="1" t="str">
        <f ca="1">IFERROR(__xludf.DUMMYFUNCTION("""COMPUTED_VALUE"""),"คืนต้นทาง")</f>
        <v>คืนต้นทาง</v>
      </c>
      <c r="I349" s="1" t="str">
        <f ca="1">IFERROR(__xludf.DUMMYFUNCTION("""COMPUTED_VALUE"""),"-")</f>
        <v>-</v>
      </c>
      <c r="J349" s="1" t="str">
        <f ca="1">IFERROR(__xludf.DUMMYFUNCTION("""COMPUTED_VALUE"""),"DB3")</f>
        <v>DB3</v>
      </c>
      <c r="K349" s="1" t="str">
        <f ca="1">IFERROR(__xludf.DUMMYFUNCTION("""COMPUTED_VALUE"""),"ems10260evd3020")</f>
        <v>ems10260evd3020</v>
      </c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 ht="15.75" customHeight="1" x14ac:dyDescent="0.2">
      <c r="A350" s="8">
        <f ca="1">IFERROR(__xludf.DUMMYFUNCTION("""COMPUTED_VALUE"""),45278.5415654398)</f>
        <v>45278.541565439802</v>
      </c>
      <c r="B350" s="1" t="str">
        <f ca="1">IFERROR(__xludf.DUMMYFUNCTION("""COMPUTED_VALUE"""),"CEC")</f>
        <v>CEC</v>
      </c>
      <c r="C350" s="1" t="str">
        <f ca="1">IFERROR(__xludf.DUMMYFUNCTION("""COMPUTED_VALUE"""),"ea908410187th")</f>
        <v>ea908410187th</v>
      </c>
      <c r="D350" s="1" t="str">
        <f ca="1">IFERROR(__xludf.DUMMYFUNCTION("""COMPUTED_VALUE"""),"นพอนันท์")</f>
        <v>นพอนันท์</v>
      </c>
      <c r="E350" s="1" t="str">
        <f ca="1">IFERROR(__xludf.DUMMYFUNCTION("""COMPUTED_VALUE"""),"063-2355007")</f>
        <v>063-2355007</v>
      </c>
      <c r="F350" s="1" t="str">
        <f ca="1">IFERROR(__xludf.DUMMYFUNCTION("""COMPUTED_VALUE"""),"37 บ้านไพโรจน์ ซอย.31 บางนา ตราด")</f>
        <v>37 บ้านไพโรจน์ ซอย.31 บางนา ตราด</v>
      </c>
      <c r="G350" s="1" t="str">
        <f ca="1">IFERROR(__xludf.DUMMYFUNCTION("""COMPUTED_VALUE"""),"ตรวจสอบการนำจ่าย")</f>
        <v>ตรวจสอบการนำจ่าย</v>
      </c>
      <c r="H350" s="1" t="str">
        <f ca="1">IFERROR(__xludf.DUMMYFUNCTION("""COMPUTED_VALUE"""),"COD.888")</f>
        <v>COD.888</v>
      </c>
      <c r="I350" s="1" t="str">
        <f ca="1">IFERROR(__xludf.DUMMYFUNCTION("""COMPUTED_VALUE"""),"-")</f>
        <v>-</v>
      </c>
      <c r="J350" s="1" t="str">
        <f ca="1">IFERROR(__xludf.DUMMYFUNCTION("""COMPUTED_VALUE"""),"DB2")</f>
        <v>DB2</v>
      </c>
      <c r="K350" s="1" t="str">
        <f ca="1">IFERROR(__xludf.DUMMYFUNCTION("""COMPUTED_VALUE"""),"ems10260evd2012")</f>
        <v>ems10260evd2012</v>
      </c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 ht="15.75" customHeight="1" x14ac:dyDescent="0.2">
      <c r="A351" s="8">
        <f ca="1">IFERROR(__xludf.DUMMYFUNCTION("""COMPUTED_VALUE"""),45278.5512140046)</f>
        <v>45278.551214004598</v>
      </c>
      <c r="B351" s="1" t="str">
        <f ca="1">IFERROR(__xludf.DUMMYFUNCTION("""COMPUTED_VALUE"""),"CEC")</f>
        <v>CEC</v>
      </c>
      <c r="C351" s="1" t="str">
        <f ca="1">IFERROR(__xludf.DUMMYFUNCTION("""COMPUTED_VALUE"""),"ea908938606th")</f>
        <v>ea908938606th</v>
      </c>
      <c r="D351" s="1" t="str">
        <f ca="1">IFERROR(__xludf.DUMMYFUNCTION("""COMPUTED_VALUE"""),"จันทนา")</f>
        <v>จันทนา</v>
      </c>
      <c r="E351" s="1" t="str">
        <f ca="1">IFERROR(__xludf.DUMMYFUNCTION("""COMPUTED_VALUE"""),"0850332232")</f>
        <v>0850332232</v>
      </c>
      <c r="F351" s="1" t="str">
        <f ca="1">IFERROR(__xludf.DUMMYFUNCTION("""COMPUTED_VALUE"""),"1211/5 บางนาตราด 37")</f>
        <v>1211/5 บางนาตราด 37</v>
      </c>
      <c r="G351" s="1" t="str">
        <f ca="1">IFERROR(__xludf.DUMMYFUNCTION("""COMPUTED_VALUE"""),"นำจ่ายใหม่")</f>
        <v>นำจ่ายใหม่</v>
      </c>
      <c r="H351" s="1" t="str">
        <f ca="1">IFERROR(__xludf.DUMMYFUNCTION("""COMPUTED_VALUE"""),"ติดต่อผู้รับไม่ได้")</f>
        <v>ติดต่อผู้รับไม่ได้</v>
      </c>
      <c r="I351" s="1" t="str">
        <f ca="1">IFERROR(__xludf.DUMMYFUNCTION("""COMPUTED_VALUE"""),"แจ้งนำจ่ายใหม่")</f>
        <v>แจ้งนำจ่ายใหม่</v>
      </c>
      <c r="J351" s="1" t="str">
        <f ca="1">IFERROR(__xludf.DUMMYFUNCTION("""COMPUTED_VALUE"""),"DB2")</f>
        <v>DB2</v>
      </c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 ht="15.75" customHeight="1" x14ac:dyDescent="0.2">
      <c r="A352" s="8">
        <f ca="1">IFERROR(__xludf.DUMMYFUNCTION("""COMPUTED_VALUE"""),45279.4302395601)</f>
        <v>45279.430239560097</v>
      </c>
      <c r="B352" s="1" t="str">
        <f ca="1">IFERROR(__xludf.DUMMYFUNCTION("""COMPUTED_VALUE"""),"CEC")</f>
        <v>CEC</v>
      </c>
      <c r="C352" s="1" t="str">
        <f ca="1">IFERROR(__xludf.DUMMYFUNCTION("""COMPUTED_VALUE"""),"rl855172608th")</f>
        <v>rl855172608th</v>
      </c>
      <c r="D352" s="1" t="str">
        <f ca="1">IFERROR(__xludf.DUMMYFUNCTION("""COMPUTED_VALUE"""),"-")</f>
        <v>-</v>
      </c>
      <c r="E352" s="1" t="str">
        <f ca="1">IFERROR(__xludf.DUMMYFUNCTION("""COMPUTED_VALUE"""),"098-2769968")</f>
        <v>098-2769968</v>
      </c>
      <c r="F352" s="1" t="str">
        <f ca="1">IFERROR(__xludf.DUMMYFUNCTION("""COMPUTED_VALUE"""),"บมจ.เนชั่นมัลติมิเดีย กรู๊ป ")</f>
        <v xml:space="preserve">บมจ.เนชั่นมัลติมิเดีย กรู๊ป </v>
      </c>
      <c r="G352" s="1" t="str">
        <f ca="1">IFERROR(__xludf.DUMMYFUNCTION("""COMPUTED_VALUE"""),"ตรวจสอบการนำจ่าย")</f>
        <v>ตรวจสอบการนำจ่าย</v>
      </c>
      <c r="H352" s="1" t="str">
        <f ca="1">IFERROR(__xludf.DUMMYFUNCTION("""COMPUTED_VALUE"""),"-")</f>
        <v>-</v>
      </c>
      <c r="I352" s="1" t="str">
        <f ca="1">IFERROR(__xludf.DUMMYFUNCTION("""COMPUTED_VALUE"""),"-")</f>
        <v>-</v>
      </c>
      <c r="J352" s="1"/>
      <c r="K352" s="1" t="str">
        <f ca="1">IFERROR(__xludf.DUMMYFUNCTION("""COMPUTED_VALUE"""),"car10260evd5008")</f>
        <v>car10260evd5008</v>
      </c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 ht="15.75" customHeight="1" x14ac:dyDescent="0.2">
      <c r="A353" s="8">
        <f ca="1">IFERROR(__xludf.DUMMYFUNCTION("""COMPUTED_VALUE"""),45279.4320606481)</f>
        <v>45279.432060648098</v>
      </c>
      <c r="B353" s="1" t="str">
        <f ca="1">IFERROR(__xludf.DUMMYFUNCTION("""COMPUTED_VALUE"""),"CEC")</f>
        <v>CEC</v>
      </c>
      <c r="C353" s="1" t="str">
        <f ca="1">IFERROR(__xludf.DUMMYFUNCTION("""COMPUTED_VALUE"""),"ed040430745th")</f>
        <v>ed040430745th</v>
      </c>
      <c r="D353" s="1" t="str">
        <f ca="1">IFERROR(__xludf.DUMMYFUNCTION("""COMPUTED_VALUE"""),"อัญชลี")</f>
        <v>อัญชลี</v>
      </c>
      <c r="E353" s="1" t="str">
        <f ca="1">IFERROR(__xludf.DUMMYFUNCTION("""COMPUTED_VALUE"""),"098-9158789")</f>
        <v>098-9158789</v>
      </c>
      <c r="F353" s="1" t="str">
        <f ca="1">IFERROR(__xludf.DUMMYFUNCTION("""COMPUTED_VALUE"""),"1760 บ.เมโทรแมชชีน ฯ สุขุมวิท")</f>
        <v>1760 บ.เมโทรแมชชีน ฯ สุขุมวิท</v>
      </c>
      <c r="G353" s="1" t="str">
        <f ca="1">IFERROR(__xludf.DUMMYFUNCTION("""COMPUTED_VALUE"""),"ตรวจสอบการนำจ่าย")</f>
        <v>ตรวจสอบการนำจ่าย</v>
      </c>
      <c r="H353" s="1" t="str">
        <f ca="1">IFERROR(__xludf.DUMMYFUNCTION("""COMPUTED_VALUE"""),"-")</f>
        <v>-</v>
      </c>
      <c r="I353" s="1" t="str">
        <f ca="1">IFERROR(__xludf.DUMMYFUNCTION("""COMPUTED_VALUE"""),"-")</f>
        <v>-</v>
      </c>
      <c r="J353" s="1" t="str">
        <f ca="1">IFERROR(__xludf.DUMMYFUNCTION("""COMPUTED_VALUE"""),"นำจ่ายรถยนต์")</f>
        <v>นำจ่ายรถยนต์</v>
      </c>
      <c r="K353" s="1" t="str">
        <f ca="1">IFERROR(__xludf.DUMMYFUNCTION("""COMPUTED_VALUE"""),"car10260evd5001")</f>
        <v>car10260evd5001</v>
      </c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 ht="15.75" customHeight="1" x14ac:dyDescent="0.2">
      <c r="A354" s="8">
        <f ca="1">IFERROR(__xludf.DUMMYFUNCTION("""COMPUTED_VALUE"""),45279.4335814814)</f>
        <v>45279.433581481397</v>
      </c>
      <c r="B354" s="1" t="str">
        <f ca="1">IFERROR(__xludf.DUMMYFUNCTION("""COMPUTED_VALUE"""),"CEC")</f>
        <v>CEC</v>
      </c>
      <c r="C354" s="1" t="str">
        <f ca="1">IFERROR(__xludf.DUMMYFUNCTION("""COMPUTED_VALUE"""),"ej534199536th")</f>
        <v>ej534199536th</v>
      </c>
      <c r="D354" s="1" t="str">
        <f ca="1">IFERROR(__xludf.DUMMYFUNCTION("""COMPUTED_VALUE"""),"ณรงค์ศักดิ์")</f>
        <v>ณรงค์ศักดิ์</v>
      </c>
      <c r="E354" s="1" t="str">
        <f ca="1">IFERROR(__xludf.DUMMYFUNCTION("""COMPUTED_VALUE"""),"094-8954542")</f>
        <v>094-8954542</v>
      </c>
      <c r="F354" s="1" t="str">
        <f ca="1">IFERROR(__xludf.DUMMYFUNCTION("""COMPUTED_VALUE"""),"55 ซ.พึ่งมี 28 สุขุมวิท93")</f>
        <v>55 ซ.พึ่งมี 28 สุขุมวิท93</v>
      </c>
      <c r="G354" s="1" t="str">
        <f ca="1">IFERROR(__xludf.DUMMYFUNCTION("""COMPUTED_VALUE"""),"ตรวจสอบการนำจ่าย")</f>
        <v>ตรวจสอบการนำจ่าย</v>
      </c>
      <c r="H354" s="1" t="str">
        <f ca="1">IFERROR(__xludf.DUMMYFUNCTION("""COMPUTED_VALUE"""),"-")</f>
        <v>-</v>
      </c>
      <c r="I354" s="1" t="str">
        <f ca="1">IFERROR(__xludf.DUMMYFUNCTION("""COMPUTED_VALUE"""),"-")</f>
        <v>-</v>
      </c>
      <c r="J354" s="1" t="str">
        <f ca="1">IFERROR(__xludf.DUMMYFUNCTION("""COMPUTED_VALUE"""),"DB3")</f>
        <v>DB3</v>
      </c>
      <c r="K354" s="1" t="str">
        <f ca="1">IFERROR(__xludf.DUMMYFUNCTION("""COMPUTED_VALUE"""),"ems10260evd3037")</f>
        <v>ems10260evd3037</v>
      </c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 ht="15.75" customHeight="1" x14ac:dyDescent="0.2">
      <c r="A355" s="8">
        <f ca="1">IFERROR(__xludf.DUMMYFUNCTION("""COMPUTED_VALUE"""),45279.4351988425)</f>
        <v>45279.435198842497</v>
      </c>
      <c r="B355" s="1" t="str">
        <f ca="1">IFERROR(__xludf.DUMMYFUNCTION("""COMPUTED_VALUE"""),"CEC")</f>
        <v>CEC</v>
      </c>
      <c r="C355" s="1" t="str">
        <f ca="1">IFERROR(__xludf.DUMMYFUNCTION("""COMPUTED_VALUE"""),"re784962897th")</f>
        <v>re784962897th</v>
      </c>
      <c r="D355" s="1" t="str">
        <f ca="1">IFERROR(__xludf.DUMMYFUNCTION("""COMPUTED_VALUE"""),"สุริยา")</f>
        <v>สุริยา</v>
      </c>
      <c r="E355" s="1" t="str">
        <f ca="1">IFERROR(__xludf.DUMMYFUNCTION("""COMPUTED_VALUE"""),"090-9926903")</f>
        <v>090-9926903</v>
      </c>
      <c r="F355" s="1" t="str">
        <f ca="1">IFERROR(__xludf.DUMMYFUNCTION("""COMPUTED_VALUE"""),"37 ซ.ประวิทย์1/3 อุดมสุข51")</f>
        <v>37 ซ.ประวิทย์1/3 อุดมสุข51</v>
      </c>
      <c r="G355" s="1" t="str">
        <f ca="1">IFERROR(__xludf.DUMMYFUNCTION("""COMPUTED_VALUE"""),"ตรวจสอบการนำจ่าย")</f>
        <v>ตรวจสอบการนำจ่าย</v>
      </c>
      <c r="H355" s="1" t="str">
        <f ca="1">IFERROR(__xludf.DUMMYFUNCTION("""COMPUTED_VALUE"""),"-")</f>
        <v>-</v>
      </c>
      <c r="I355" s="1" t="str">
        <f ca="1">IFERROR(__xludf.DUMMYFUNCTION("""COMPUTED_VALUE"""),"-")</f>
        <v>-</v>
      </c>
      <c r="J355" s="1" t="str">
        <f ca="1">IFERROR(__xludf.DUMMYFUNCTION("""COMPUTED_VALUE"""),"DB3")</f>
        <v>DB3</v>
      </c>
      <c r="K355" s="1" t="str">
        <f ca="1">IFERROR(__xludf.DUMMYFUNCTION("""COMPUTED_VALUE"""),"ems10260evd3037")</f>
        <v>ems10260evd3037</v>
      </c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 ht="15.75" customHeight="1" x14ac:dyDescent="0.2">
      <c r="A356" s="8">
        <f ca="1">IFERROR(__xludf.DUMMYFUNCTION("""COMPUTED_VALUE"""),45279.4369624768)</f>
        <v>45279.436962476801</v>
      </c>
      <c r="B356" s="1" t="str">
        <f ca="1">IFERROR(__xludf.DUMMYFUNCTION("""COMPUTED_VALUE"""),"CEC")</f>
        <v>CEC</v>
      </c>
      <c r="C356" s="1" t="str">
        <f ca="1">IFERROR(__xludf.DUMMYFUNCTION("""COMPUTED_VALUE"""),"ry180960917th")</f>
        <v>ry180960917th</v>
      </c>
      <c r="D356" s="1" t="str">
        <f ca="1">IFERROR(__xludf.DUMMYFUNCTION("""COMPUTED_VALUE"""),"สาธิต")</f>
        <v>สาธิต</v>
      </c>
      <c r="E356" s="1" t="str">
        <f ca="1">IFERROR(__xludf.DUMMYFUNCTION("""COMPUTED_VALUE"""),"098-4269808")</f>
        <v>098-4269808</v>
      </c>
      <c r="F356" s="1" t="str">
        <f ca="1">IFERROR(__xludf.DUMMYFUNCTION("""COMPUTED_VALUE"""),"24 ภักดีพงษ์อพาร์ทเมนท์ ซ.สาธิต 20")</f>
        <v>24 ภักดีพงษ์อพาร์ทเมนท์ ซ.สาธิต 20</v>
      </c>
      <c r="G356" s="1" t="str">
        <f ca="1">IFERROR(__xludf.DUMMYFUNCTION("""COMPUTED_VALUE"""),"ตรวจสอบการนำจ่าย")</f>
        <v>ตรวจสอบการนำจ่าย</v>
      </c>
      <c r="H356" s="1" t="str">
        <f ca="1">IFERROR(__xludf.DUMMYFUNCTION("""COMPUTED_VALUE"""),"-")</f>
        <v>-</v>
      </c>
      <c r="I356" s="1" t="str">
        <f ca="1">IFERROR(__xludf.DUMMYFUNCTION("""COMPUTED_VALUE"""),"-")</f>
        <v>-</v>
      </c>
      <c r="J356" s="1" t="str">
        <f ca="1">IFERROR(__xludf.DUMMYFUNCTION("""COMPUTED_VALUE"""),"DB2")</f>
        <v>DB2</v>
      </c>
      <c r="K356" s="1" t="str">
        <f ca="1">IFERROR(__xludf.DUMMYFUNCTION("""COMPUTED_VALUE"""),"ems10260evd2024")</f>
        <v>ems10260evd2024</v>
      </c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 ht="15.75" customHeight="1" x14ac:dyDescent="0.2">
      <c r="A357" s="8">
        <f ca="1">IFERROR(__xludf.DUMMYFUNCTION("""COMPUTED_VALUE"""),45279.4389297916)</f>
        <v>45279.438929791599</v>
      </c>
      <c r="B357" s="1" t="str">
        <f ca="1">IFERROR(__xludf.DUMMYFUNCTION("""COMPUTED_VALUE"""),"CEC")</f>
        <v>CEC</v>
      </c>
      <c r="C357" s="1" t="str">
        <f ca="1">IFERROR(__xludf.DUMMYFUNCTION("""COMPUTED_VALUE"""),"ea908839912th")</f>
        <v>ea908839912th</v>
      </c>
      <c r="D357" s="1" t="str">
        <f ca="1">IFERROR(__xludf.DUMMYFUNCTION("""COMPUTED_VALUE"""),"เยาวรัตน์")</f>
        <v>เยาวรัตน์</v>
      </c>
      <c r="E357" s="1" t="str">
        <f ca="1">IFERROR(__xludf.DUMMYFUNCTION("""COMPUTED_VALUE"""),"083-7729696")</f>
        <v>083-7729696</v>
      </c>
      <c r="F357" s="1" t="str">
        <f ca="1">IFERROR(__xludf.DUMMYFUNCTION("""COMPUTED_VALUE"""),"710/473 ล็อค 3 ซ.สุขุมวิท 101/1")</f>
        <v>710/473 ล็อค 3 ซ.สุขุมวิท 101/1</v>
      </c>
      <c r="G357" s="1" t="str">
        <f ca="1">IFERROR(__xludf.DUMMYFUNCTION("""COMPUTED_VALUE"""),"นำจ่ายใหม่")</f>
        <v>นำจ่ายใหม่</v>
      </c>
      <c r="H357" s="1" t="str">
        <f ca="1">IFERROR(__xludf.DUMMYFUNCTION("""COMPUTED_VALUE"""),"COD.198 บาท/จ่ายวันที่ 22/11/66")</f>
        <v>COD.198 บาท/จ่ายวันที่ 22/11/66</v>
      </c>
      <c r="I357" s="1" t="str">
        <f ca="1">IFERROR(__xludf.DUMMYFUNCTION("""COMPUTED_VALUE"""),"-")</f>
        <v>-</v>
      </c>
      <c r="J357" s="1" t="str">
        <f ca="1">IFERROR(__xludf.DUMMYFUNCTION("""COMPUTED_VALUE"""),"DB3")</f>
        <v>DB3</v>
      </c>
      <c r="K357" s="1" t="str">
        <f ca="1">IFERROR(__xludf.DUMMYFUNCTION("""COMPUTED_VALUE"""),"ems10260evd3033")</f>
        <v>ems10260evd3033</v>
      </c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 ht="15.75" customHeight="1" x14ac:dyDescent="0.2">
      <c r="A358" s="8">
        <f ca="1">IFERROR(__xludf.DUMMYFUNCTION("""COMPUTED_VALUE"""),45279.4423076967)</f>
        <v>45279.4423076967</v>
      </c>
      <c r="B358" s="1" t="str">
        <f ca="1">IFERROR(__xludf.DUMMYFUNCTION("""COMPUTED_VALUE"""),"CEC")</f>
        <v>CEC</v>
      </c>
      <c r="C358" s="1" t="str">
        <f ca="1">IFERROR(__xludf.DUMMYFUNCTION("""COMPUTED_VALUE"""),"ed032568518th")</f>
        <v>ed032568518th</v>
      </c>
      <c r="D358" s="1" t="str">
        <f ca="1">IFERROR(__xludf.DUMMYFUNCTION("""COMPUTED_VALUE"""),"thirata")</f>
        <v>thirata</v>
      </c>
      <c r="E358" s="1" t="str">
        <f ca="1">IFERROR(__xludf.DUMMYFUNCTION("""COMPUTED_VALUE"""),"083-6516566")</f>
        <v>083-6516566</v>
      </c>
      <c r="F358" s="1" t="str">
        <f ca="1">IFERROR(__xludf.DUMMYFUNCTION("""COMPUTED_VALUE"""),"1144/2 ซ.วชิรธรรมสาธิต 46 ซ.101/1")</f>
        <v>1144/2 ซ.วชิรธรรมสาธิต 46 ซ.101/1</v>
      </c>
      <c r="G358" s="1" t="str">
        <f ca="1">IFERROR(__xludf.DUMMYFUNCTION("""COMPUTED_VALUE"""),"ตรวจสอบการนำจ่าย")</f>
        <v>ตรวจสอบการนำจ่าย</v>
      </c>
      <c r="H358" s="1" t="str">
        <f ca="1">IFERROR(__xludf.DUMMYFUNCTION("""COMPUTED_VALUE"""),"ออกใบแจ้ง")</f>
        <v>ออกใบแจ้ง</v>
      </c>
      <c r="I358" s="1" t="str">
        <f ca="1">IFERROR(__xludf.DUMMYFUNCTION("""COMPUTED_VALUE"""),"-")</f>
        <v>-</v>
      </c>
      <c r="J358" s="1" t="str">
        <f ca="1">IFERROR(__xludf.DUMMYFUNCTION("""COMPUTED_VALUE"""),"DB3")</f>
        <v>DB3</v>
      </c>
      <c r="K358" s="1" t="str">
        <f ca="1">IFERROR(__xludf.DUMMYFUNCTION("""COMPUTED_VALUE"""),"ems10260evd3036")</f>
        <v>ems10260evd3036</v>
      </c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 ht="15.75" customHeight="1" x14ac:dyDescent="0.2">
      <c r="A359" s="8">
        <f ca="1">IFERROR(__xludf.DUMMYFUNCTION("""COMPUTED_VALUE"""),45279.443713287)</f>
        <v>45279.443713287001</v>
      </c>
      <c r="B359" s="1" t="str">
        <f ca="1">IFERROR(__xludf.DUMMYFUNCTION("""COMPUTED_VALUE"""),"CEC")</f>
        <v>CEC</v>
      </c>
      <c r="C359" s="1" t="str">
        <f ca="1">IFERROR(__xludf.DUMMYFUNCTION("""COMPUTED_VALUE"""),"et005115478th")</f>
        <v>et005115478th</v>
      </c>
      <c r="D359" s="1" t="str">
        <f ca="1">IFERROR(__xludf.DUMMYFUNCTION("""COMPUTED_VALUE"""),"เนตรธนิช")</f>
        <v>เนตรธนิช</v>
      </c>
      <c r="E359" s="1" t="str">
        <f ca="1">IFERROR(__xludf.DUMMYFUNCTION("""COMPUTED_VALUE"""),"0629323649")</f>
        <v>0629323649</v>
      </c>
      <c r="F359" s="1" t="str">
        <f ca="1">IFERROR(__xludf.DUMMYFUNCTION("""COMPUTED_VALUE"""),"274/44 สุขุมวิทย์ 93")</f>
        <v>274/44 สุขุมวิทย์ 93</v>
      </c>
      <c r="G359" s="1" t="str">
        <f ca="1">IFERROR(__xludf.DUMMYFUNCTION("""COMPUTED_VALUE"""),"ตรวจสอบการนำจ่าย")</f>
        <v>ตรวจสอบการนำจ่าย</v>
      </c>
      <c r="H359" s="1" t="str">
        <f ca="1">IFERROR(__xludf.DUMMYFUNCTION("""COMPUTED_VALUE"""),"ผู้รบไม่ไดรับจดหมาย")</f>
        <v>ผู้รบไม่ไดรับจดหมาย</v>
      </c>
      <c r="I359" s="1" t="str">
        <f ca="1">IFERROR(__xludf.DUMMYFUNCTION("""COMPUTED_VALUE"""),"แจ้งเจ้าหน้าที่นำจ่ายแล้ว")</f>
        <v>แจ้งเจ้าหน้าที่นำจ่ายแล้ว</v>
      </c>
      <c r="J359" s="1" t="str">
        <f ca="1">IFERROR(__xludf.DUMMYFUNCTION("""COMPUTED_VALUE"""),"DB3")</f>
        <v>DB3</v>
      </c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 ht="15.75" customHeight="1" x14ac:dyDescent="0.2">
      <c r="A360" s="8">
        <f ca="1">IFERROR(__xludf.DUMMYFUNCTION("""COMPUTED_VALUE"""),45279.4453822453)</f>
        <v>45279.4453822453</v>
      </c>
      <c r="B360" s="1" t="str">
        <f ca="1">IFERROR(__xludf.DUMMYFUNCTION("""COMPUTED_VALUE"""),"CEC")</f>
        <v>CEC</v>
      </c>
      <c r="C360" s="1" t="str">
        <f ca="1">IFERROR(__xludf.DUMMYFUNCTION("""COMPUTED_VALUE"""),"rl697677283th")</f>
        <v>rl697677283th</v>
      </c>
      <c r="D360" s="1" t="str">
        <f ca="1">IFERROR(__xludf.DUMMYFUNCTION("""COMPUTED_VALUE"""),"ธนัชพัทร
")</f>
        <v xml:space="preserve">ธนัชพัทร
</v>
      </c>
      <c r="E360" s="1" t="str">
        <f ca="1">IFERROR(__xludf.DUMMYFUNCTION("""COMPUTED_VALUE"""),"0878197493")</f>
        <v>0878197493</v>
      </c>
      <c r="F360" s="1" t="str">
        <f ca="1">IFERROR(__xludf.DUMMYFUNCTION("""COMPUTED_VALUE"""),"882 อุดมสุข 48")</f>
        <v>882 อุดมสุข 48</v>
      </c>
      <c r="G360" s="1" t="str">
        <f ca="1">IFERROR(__xludf.DUMMYFUNCTION("""COMPUTED_VALUE"""),"ตรวจสอบการนำจ่าย")</f>
        <v>ตรวจสอบการนำจ่าย</v>
      </c>
      <c r="H360" s="1" t="str">
        <f ca="1">IFERROR(__xludf.DUMMYFUNCTION("""COMPUTED_VALUE"""),"ผูรับไม่ได้สิ่งของ")</f>
        <v>ผูรับไม่ได้สิ่งของ</v>
      </c>
      <c r="I360" s="1" t="str">
        <f ca="1">IFERROR(__xludf.DUMMYFUNCTION("""COMPUTED_VALUE"""),"แจ้งเจ้าหน้าที่นำจ่ายแล้ว")</f>
        <v>แจ้งเจ้าหน้าที่นำจ่ายแล้ว</v>
      </c>
      <c r="J360" s="1" t="str">
        <f ca="1">IFERROR(__xludf.DUMMYFUNCTION("""COMPUTED_VALUE"""),"DB2")</f>
        <v>DB2</v>
      </c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 ht="15.75" customHeight="1" x14ac:dyDescent="0.2">
      <c r="A361" s="8">
        <f ca="1">IFERROR(__xludf.DUMMYFUNCTION("""COMPUTED_VALUE"""),45279.447439699)</f>
        <v>45279.447439698997</v>
      </c>
      <c r="B361" s="1" t="str">
        <f ca="1">IFERROR(__xludf.DUMMYFUNCTION("""COMPUTED_VALUE"""),"CEC")</f>
        <v>CEC</v>
      </c>
      <c r="C361" s="1" t="str">
        <f ca="1">IFERROR(__xludf.DUMMYFUNCTION("""COMPUTED_VALUE"""),"ry711681745th")</f>
        <v>ry711681745th</v>
      </c>
      <c r="D361" s="1" t="str">
        <f ca="1">IFERROR(__xludf.DUMMYFUNCTION("""COMPUTED_VALUE"""),"ธนวรินทร์")</f>
        <v>ธนวรินทร์</v>
      </c>
      <c r="E361" s="1" t="str">
        <f ca="1">IFERROR(__xludf.DUMMYFUNCTION("""COMPUTED_VALUE"""),"065-4626163")</f>
        <v>065-4626163</v>
      </c>
      <c r="F361" s="1" t="str">
        <f ca="1">IFERROR(__xludf.DUMMYFUNCTION("""COMPUTED_VALUE"""),"358/84 คอนโดรีเจ้นท์โฮม 97/197ตึก ดี สุขุมวิท97/1")</f>
        <v>358/84 คอนโดรีเจ้นท์โฮม 97/197ตึก ดี สุขุมวิท97/1</v>
      </c>
      <c r="G361" s="1" t="str">
        <f ca="1">IFERROR(__xludf.DUMMYFUNCTION("""COMPUTED_VALUE"""),"ตรวจสอบการนำจ่าย")</f>
        <v>ตรวจสอบการนำจ่าย</v>
      </c>
      <c r="H361" s="1" t="str">
        <f ca="1">IFERROR(__xludf.DUMMYFUNCTION("""COMPUTED_VALUE"""),"-")</f>
        <v>-</v>
      </c>
      <c r="I361" s="1" t="str">
        <f ca="1">IFERROR(__xludf.DUMMYFUNCTION("""COMPUTED_VALUE"""),"-")</f>
        <v>-</v>
      </c>
      <c r="J361" s="1" t="str">
        <f ca="1">IFERROR(__xludf.DUMMYFUNCTION("""COMPUTED_VALUE"""),"DB3")</f>
        <v>DB3</v>
      </c>
      <c r="K361" s="1" t="str">
        <f ca="1">IFERROR(__xludf.DUMMYFUNCTION("""COMPUTED_VALUE"""),"ems10260evd3011")</f>
        <v>ems10260evd3011</v>
      </c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 ht="15.75" customHeight="1" x14ac:dyDescent="0.2">
      <c r="A362" s="8">
        <f ca="1">IFERROR(__xludf.DUMMYFUNCTION("""COMPUTED_VALUE"""),45279.4486219097)</f>
        <v>45279.448621909702</v>
      </c>
      <c r="B362" s="1" t="str">
        <f ca="1">IFERROR(__xludf.DUMMYFUNCTION("""COMPUTED_VALUE"""),"CEC")</f>
        <v>CEC</v>
      </c>
      <c r="C362" s="1" t="str">
        <f ca="1">IFERROR(__xludf.DUMMYFUNCTION("""COMPUTED_VALUE"""),"ef238842195th")</f>
        <v>ef238842195th</v>
      </c>
      <c r="D362" s="1" t="str">
        <f ca="1">IFERROR(__xludf.DUMMYFUNCTION("""COMPUTED_VALUE"""),"ชลธี")</f>
        <v>ชลธี</v>
      </c>
      <c r="E362" s="1" t="str">
        <f ca="1">IFERROR(__xludf.DUMMYFUNCTION("""COMPUTED_VALUE"""),"090-6615548")</f>
        <v>090-6615548</v>
      </c>
      <c r="F362" s="1" t="str">
        <f ca="1">IFERROR(__xludf.DUMMYFUNCTION("""COMPUTED_VALUE"""),"1/888 บ้านเอื้ออมรสุข ริมทาง ฯ")</f>
        <v>1/888 บ้านเอื้ออมรสุข ริมทาง ฯ</v>
      </c>
      <c r="G362" s="1" t="str">
        <f ca="1">IFERROR(__xludf.DUMMYFUNCTION("""COMPUTED_VALUE"""),"ตรวจสอบการนำจ่าย")</f>
        <v>ตรวจสอบการนำจ่าย</v>
      </c>
      <c r="H362" s="1" t="str">
        <f ca="1">IFERROR(__xludf.DUMMYFUNCTION("""COMPUTED_VALUE"""),"-")</f>
        <v>-</v>
      </c>
      <c r="I362" s="1" t="str">
        <f ca="1">IFERROR(__xludf.DUMMYFUNCTION("""COMPUTED_VALUE"""),"-")</f>
        <v>-</v>
      </c>
      <c r="J362" s="1" t="str">
        <f ca="1">IFERROR(__xludf.DUMMYFUNCTION("""COMPUTED_VALUE"""),"DB4")</f>
        <v>DB4</v>
      </c>
      <c r="K362" s="1" t="str">
        <f ca="1">IFERROR(__xludf.DUMMYFUNCTION("""COMPUTED_VALUE"""),"ems10260evd4011")</f>
        <v>ems10260evd4011</v>
      </c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 ht="15.75" customHeight="1" x14ac:dyDescent="0.2">
      <c r="A363" s="8">
        <f ca="1">IFERROR(__xludf.DUMMYFUNCTION("""COMPUTED_VALUE"""),45279.4686069675)</f>
        <v>45279.468606967501</v>
      </c>
      <c r="B363" s="1" t="str">
        <f ca="1">IFERROR(__xludf.DUMMYFUNCTION("""COMPUTED_VALUE"""),"On Queue")</f>
        <v>On Queue</v>
      </c>
      <c r="C363" s="1" t="str">
        <f ca="1">IFERROR(__xludf.DUMMYFUNCTION("""COMPUTED_VALUE"""),"ed111208698th")</f>
        <v>ed111208698th</v>
      </c>
      <c r="D363" s="1" t="str">
        <f ca="1">IFERROR(__xludf.DUMMYFUNCTION("""COMPUTED_VALUE"""),"ยุพดี")</f>
        <v>ยุพดี</v>
      </c>
      <c r="E363" s="1" t="str">
        <f ca="1">IFERROR(__xludf.DUMMYFUNCTION("""COMPUTED_VALUE"""),"092-9789284")</f>
        <v>092-9789284</v>
      </c>
      <c r="F363" s="1" t="str">
        <f ca="1">IFERROR(__xludf.DUMMYFUNCTION("""COMPUTED_VALUE"""),"341/1 บ.ยูนิคคูซิน่า จก.ร้านชาบู เทพรัตน์")</f>
        <v>341/1 บ.ยูนิคคูซิน่า จก.ร้านชาบู เทพรัตน์</v>
      </c>
      <c r="G363" s="1" t="str">
        <f ca="1">IFERROR(__xludf.DUMMYFUNCTION("""COMPUTED_VALUE"""),"ตรวจสอบการนำจ่าย")</f>
        <v>ตรวจสอบการนำจ่าย</v>
      </c>
      <c r="H363" s="1" t="str">
        <f ca="1">IFERROR(__xludf.DUMMYFUNCTION("""COMPUTED_VALUE"""),"341 นำจ่ายแล้ว")</f>
        <v>341 นำจ่ายแล้ว</v>
      </c>
      <c r="I363" s="1" t="str">
        <f ca="1">IFERROR(__xludf.DUMMYFUNCTION("""COMPUTED_VALUE"""),"-")</f>
        <v>-</v>
      </c>
      <c r="J363" s="1" t="str">
        <f ca="1">IFERROR(__xludf.DUMMYFUNCTION("""COMPUTED_VALUE"""),"DB2")</f>
        <v>DB2</v>
      </c>
      <c r="K363" s="1" t="str">
        <f ca="1">IFERROR(__xludf.DUMMYFUNCTION("""COMPUTED_VALUE"""),"ems10260evd2006")</f>
        <v>ems10260evd2006</v>
      </c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 ht="15.75" customHeight="1" x14ac:dyDescent="0.2">
      <c r="A364" s="8">
        <f ca="1">IFERROR(__xludf.DUMMYFUNCTION("""COMPUTED_VALUE"""),45279.4703297685)</f>
        <v>45279.470329768497</v>
      </c>
      <c r="B364" s="1" t="str">
        <f ca="1">IFERROR(__xludf.DUMMYFUNCTION("""COMPUTED_VALUE"""),"CEC")</f>
        <v>CEC</v>
      </c>
      <c r="C364" s="1" t="str">
        <f ca="1">IFERROR(__xludf.DUMMYFUNCTION("""COMPUTED_VALUE"""),"ed770149970th")</f>
        <v>ed770149970th</v>
      </c>
      <c r="D364" s="1" t="str">
        <f ca="1">IFERROR(__xludf.DUMMYFUNCTION("""COMPUTED_VALUE"""),"ณรงค์ศักดิ์")</f>
        <v>ณรงค์ศักดิ์</v>
      </c>
      <c r="E364" s="1" t="str">
        <f ca="1">IFERROR(__xludf.DUMMYFUNCTION("""COMPUTED_VALUE"""),"092-9679777")</f>
        <v>092-9679777</v>
      </c>
      <c r="F364" s="1" t="str">
        <f ca="1">IFERROR(__xludf.DUMMYFUNCTION("""COMPUTED_VALUE"""),"161/21 สรรพาวุธ บางนา")</f>
        <v>161/21 สรรพาวุธ บางนา</v>
      </c>
      <c r="G364" s="1" t="str">
        <f ca="1">IFERROR(__xludf.DUMMYFUNCTION("""COMPUTED_VALUE"""),"นำจ่ายใหม่")</f>
        <v>นำจ่ายใหม่</v>
      </c>
      <c r="H364" s="1" t="str">
        <f ca="1">IFERROR(__xludf.DUMMYFUNCTION("""COMPUTED_VALUE"""),"ออกใบแจ้ง")</f>
        <v>ออกใบแจ้ง</v>
      </c>
      <c r="I364" s="1" t="str">
        <f ca="1">IFERROR(__xludf.DUMMYFUNCTION("""COMPUTED_VALUE"""),"-")</f>
        <v>-</v>
      </c>
      <c r="J364" s="1" t="str">
        <f ca="1">IFERROR(__xludf.DUMMYFUNCTION("""COMPUTED_VALUE"""),"DB1")</f>
        <v>DB1</v>
      </c>
      <c r="K364" s="1" t="str">
        <f ca="1">IFERROR(__xludf.DUMMYFUNCTION("""COMPUTED_VALUE"""),"ems10260evd1006")</f>
        <v>ems10260evd1006</v>
      </c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 ht="15.75" customHeight="1" x14ac:dyDescent="0.2">
      <c r="A365" s="8">
        <f ca="1">IFERROR(__xludf.DUMMYFUNCTION("""COMPUTED_VALUE"""),45279.4889162962)</f>
        <v>45279.488916296199</v>
      </c>
      <c r="B365" s="1" t="str">
        <f ca="1">IFERROR(__xludf.DUMMYFUNCTION("""COMPUTED_VALUE"""),"CEC")</f>
        <v>CEC</v>
      </c>
      <c r="C365" s="1" t="str">
        <f ca="1">IFERROR(__xludf.DUMMYFUNCTION("""COMPUTED_VALUE"""),"ea908826848th")</f>
        <v>ea908826848th</v>
      </c>
      <c r="D365" s="1" t="str">
        <f ca="1">IFERROR(__xludf.DUMMYFUNCTION("""COMPUTED_VALUE"""),"อุไร")</f>
        <v>อุไร</v>
      </c>
      <c r="E365" s="1" t="str">
        <f ca="1">IFERROR(__xludf.DUMMYFUNCTION("""COMPUTED_VALUE"""),"085-1212112")</f>
        <v>085-1212112</v>
      </c>
      <c r="F365" s="1" t="str">
        <f ca="1">IFERROR(__xludf.DUMMYFUNCTION("""COMPUTED_VALUE"""),"1207/34 เยื้องปั๊มน้ำมันเชลล์ สุขุมวิท101/1")</f>
        <v>1207/34 เยื้องปั๊มน้ำมันเชลล์ สุขุมวิท101/1</v>
      </c>
      <c r="G365" s="1" t="str">
        <f ca="1">IFERROR(__xludf.DUMMYFUNCTION("""COMPUTED_VALUE"""),"นำจ่ายใหม่")</f>
        <v>นำจ่ายใหม่</v>
      </c>
      <c r="H365" s="1" t="str">
        <f ca="1">IFERROR(__xludf.DUMMYFUNCTION("""COMPUTED_VALUE"""),"COD.198")</f>
        <v>COD.198</v>
      </c>
      <c r="I365" s="1" t="str">
        <f ca="1">IFERROR(__xludf.DUMMYFUNCTION("""COMPUTED_VALUE"""),"-")</f>
        <v>-</v>
      </c>
      <c r="J365" s="1" t="str">
        <f ca="1">IFERROR(__xludf.DUMMYFUNCTION("""COMPUTED_VALUE"""),"DB3")</f>
        <v>DB3</v>
      </c>
      <c r="K365" s="1" t="str">
        <f ca="1">IFERROR(__xludf.DUMMYFUNCTION("""COMPUTED_VALUE"""),"ems10260evs3036")</f>
        <v>ems10260evs3036</v>
      </c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 ht="15.75" customHeight="1" x14ac:dyDescent="0.2">
      <c r="A366" s="8">
        <f ca="1">IFERROR(__xludf.DUMMYFUNCTION("""COMPUTED_VALUE"""),45279.6055401041)</f>
        <v>45279.605540104101</v>
      </c>
      <c r="B366" s="1" t="str">
        <f ca="1">IFERROR(__xludf.DUMMYFUNCTION("""COMPUTED_VALUE"""),"CEC")</f>
        <v>CEC</v>
      </c>
      <c r="C366" s="1" t="str">
        <f ca="1">IFERROR(__xludf.DUMMYFUNCTION("""COMPUTED_VALUE"""),"ed127911003th")</f>
        <v>ed127911003th</v>
      </c>
      <c r="D366" s="1" t="str">
        <f ca="1">IFERROR(__xludf.DUMMYFUNCTION("""COMPUTED_VALUE"""),"grace")</f>
        <v>grace</v>
      </c>
      <c r="E366" s="1" t="str">
        <f ca="1">IFERROR(__xludf.DUMMYFUNCTION("""COMPUTED_VALUE"""),"0866448323")</f>
        <v>0866448323</v>
      </c>
      <c r="F366" s="1" t="str">
        <f ca="1">IFERROR(__xludf.DUMMYFUNCTION("""COMPUTED_VALUE"""),"1200/30   อุดมสุข 58")</f>
        <v>1200/30   อุดมสุข 58</v>
      </c>
      <c r="G366" s="1" t="str">
        <f ca="1">IFERROR(__xludf.DUMMYFUNCTION("""COMPUTED_VALUE"""),"นำจ่ายใหม่")</f>
        <v>นำจ่ายใหม่</v>
      </c>
      <c r="H366" s="1" t="str">
        <f ca="1">IFERROR(__xludf.DUMMYFUNCTION("""COMPUTED_VALUE"""),"ติดต่อผู้รับไม่ได้")</f>
        <v>ติดต่อผู้รับไม่ได้</v>
      </c>
      <c r="I366" s="1" t="str">
        <f ca="1">IFERROR(__xludf.DUMMYFUNCTION("""COMPUTED_VALUE"""),"แจ้งเจ้าหน้าที่นำจ่ายแล้ว")</f>
        <v>แจ้งเจ้าหน้าที่นำจ่ายแล้ว</v>
      </c>
      <c r="J366" s="1" t="str">
        <f ca="1">IFERROR(__xludf.DUMMYFUNCTION("""COMPUTED_VALUE"""),"DB2")</f>
        <v>DB2</v>
      </c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 ht="15.75" customHeight="1" x14ac:dyDescent="0.2">
      <c r="A367" s="8">
        <f ca="1">IFERROR(__xludf.DUMMYFUNCTION("""COMPUTED_VALUE"""),45279.6279828819)</f>
        <v>45279.627982881902</v>
      </c>
      <c r="B367" s="1" t="str">
        <f ca="1">IFERROR(__xludf.DUMMYFUNCTION("""COMPUTED_VALUE"""),"CEC")</f>
        <v>CEC</v>
      </c>
      <c r="C367" s="1" t="str">
        <f ca="1">IFERROR(__xludf.DUMMYFUNCTION("""COMPUTED_VALUE"""),"ex460147698th")</f>
        <v>ex460147698th</v>
      </c>
      <c r="D367" s="1" t="str">
        <f ca="1">IFERROR(__xludf.DUMMYFUNCTION("""COMPUTED_VALUE"""),"จันทร์ธิมาภรณ์")</f>
        <v>จันทร์ธิมาภรณ์</v>
      </c>
      <c r="E367" s="1" t="str">
        <f ca="1">IFERROR(__xludf.DUMMYFUNCTION("""COMPUTED_VALUE"""),"0865464344")</f>
        <v>0865464344</v>
      </c>
      <c r="F367" s="1" t="str">
        <f ca="1">IFERROR(__xludf.DUMMYFUNCTION("""COMPUTED_VALUE"""),"825 บางตราด 28 อาคารไพโรจน์กิิจจา")</f>
        <v>825 บางตราด 28 อาคารไพโรจน์กิิจจา</v>
      </c>
      <c r="G367" s="1" t="str">
        <f ca="1">IFERROR(__xludf.DUMMYFUNCTION("""COMPUTED_VALUE"""),"ตรวจสอบการนำจ่าย")</f>
        <v>ตรวจสอบการนำจ่าย</v>
      </c>
      <c r="H367" s="1" t="str">
        <f ca="1">IFERROR(__xludf.DUMMYFUNCTION("""COMPUTED_VALUE"""),"ผู้รับไม่ได้รับสิ่งของ")</f>
        <v>ผู้รับไม่ได้รับสิ่งของ</v>
      </c>
      <c r="I367" s="1" t="str">
        <f ca="1">IFERROR(__xludf.DUMMYFUNCTION("""COMPUTED_VALUE"""),"แจ้งเจ้าหน้ที่นำจ่ายแล้ว")</f>
        <v>แจ้งเจ้าหน้ที่นำจ่ายแล้ว</v>
      </c>
      <c r="J367" s="1" t="str">
        <f ca="1">IFERROR(__xludf.DUMMYFUNCTION("""COMPUTED_VALUE"""),"DB2")</f>
        <v>DB2</v>
      </c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 ht="15.75" customHeight="1" x14ac:dyDescent="0.2">
      <c r="A368" s="8">
        <f ca="1">IFERROR(__xludf.DUMMYFUNCTION("""COMPUTED_VALUE"""),45280.4410915046)</f>
        <v>45280.441091504603</v>
      </c>
      <c r="B368" s="1" t="str">
        <f ca="1">IFERROR(__xludf.DUMMYFUNCTION("""COMPUTED_VALUE"""),"On Queue")</f>
        <v>On Queue</v>
      </c>
      <c r="C368" s="1" t="str">
        <f ca="1">IFERROR(__xludf.DUMMYFUNCTION("""COMPUTED_VALUE"""),"ed116315243th")</f>
        <v>ed116315243th</v>
      </c>
      <c r="D368" s="1" t="str">
        <f ca="1">IFERROR(__xludf.DUMMYFUNCTION("""COMPUTED_VALUE"""),"วริษนัน")</f>
        <v>วริษนัน</v>
      </c>
      <c r="E368" s="1" t="str">
        <f ca="1">IFERROR(__xludf.DUMMYFUNCTION("""COMPUTED_VALUE"""),"097-4422644")</f>
        <v>097-4422644</v>
      </c>
      <c r="F368" s="1" t="str">
        <f ca="1">IFERROR(__xludf.DUMMYFUNCTION("""COMPUTED_VALUE"""),"147 บางนา ตราด 17")</f>
        <v>147 บางนา ตราด 17</v>
      </c>
      <c r="G368" s="1" t="str">
        <f ca="1">IFERROR(__xludf.DUMMYFUNCTION("""COMPUTED_VALUE"""),"ตรวจสอบการนำจ่าย")</f>
        <v>ตรวจสอบการนำจ่าย</v>
      </c>
      <c r="H368" s="1" t="str">
        <f ca="1">IFERROR(__xludf.DUMMYFUNCTION("""COMPUTED_VALUE"""),"COD.8400 บาท")</f>
        <v>COD.8400 บาท</v>
      </c>
      <c r="I368" s="1" t="str">
        <f ca="1">IFERROR(__xludf.DUMMYFUNCTION("""COMPUTED_VALUE"""),"-")</f>
        <v>-</v>
      </c>
      <c r="J368" s="1" t="str">
        <f ca="1">IFERROR(__xludf.DUMMYFUNCTION("""COMPUTED_VALUE"""),"DB2")</f>
        <v>DB2</v>
      </c>
      <c r="K368" s="1" t="str">
        <f ca="1">IFERROR(__xludf.DUMMYFUNCTION("""COMPUTED_VALUE"""),"ems10260evd2008")</f>
        <v>ems10260evd2008</v>
      </c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 ht="15.75" customHeight="1" x14ac:dyDescent="0.2">
      <c r="A369" s="8">
        <f ca="1">IFERROR(__xludf.DUMMYFUNCTION("""COMPUTED_VALUE"""),45280.4428053935)</f>
        <v>45280.442805393497</v>
      </c>
      <c r="B369" s="1" t="str">
        <f ca="1">IFERROR(__xludf.DUMMYFUNCTION("""COMPUTED_VALUE"""),"CEC")</f>
        <v>CEC</v>
      </c>
      <c r="C369" s="1" t="str">
        <f ca="1">IFERROR(__xludf.DUMMYFUNCTION("""COMPUTED_VALUE"""),"en548898952th")</f>
        <v>en548898952th</v>
      </c>
      <c r="D369" s="1" t="str">
        <f ca="1">IFERROR(__xludf.DUMMYFUNCTION("""COMPUTED_VALUE"""),"วิทวัส")</f>
        <v>วิทวัส</v>
      </c>
      <c r="E369" s="1" t="str">
        <f ca="1">IFERROR(__xludf.DUMMYFUNCTION("""COMPUTED_VALUE"""),"082-4521835")</f>
        <v>082-4521835</v>
      </c>
      <c r="F369" s="1" t="str">
        <f ca="1">IFERROR(__xludf.DUMMYFUNCTION("""COMPUTED_VALUE"""),"682 ซอย.สถานีสูบน้ำพระโขนง ซ.50")</f>
        <v>682 ซอย.สถานีสูบน้ำพระโขนง ซ.50</v>
      </c>
      <c r="G369" s="1" t="str">
        <f ca="1">IFERROR(__xludf.DUMMYFUNCTION("""COMPUTED_VALUE"""),"นำจ่ายใหม่")</f>
        <v>นำจ่ายใหม่</v>
      </c>
      <c r="H369" s="1" t="str">
        <f ca="1">IFERROR(__xludf.DUMMYFUNCTION("""COMPUTED_VALUE"""),"-")</f>
        <v>-</v>
      </c>
      <c r="I369" s="1" t="str">
        <f ca="1">IFERROR(__xludf.DUMMYFUNCTION("""COMPUTED_VALUE"""),"-")</f>
        <v>-</v>
      </c>
      <c r="J369" s="1" t="str">
        <f ca="1">IFERROR(__xludf.DUMMYFUNCTION("""COMPUTED_VALUE"""),"DB4")</f>
        <v>DB4</v>
      </c>
      <c r="K369" s="1" t="str">
        <f ca="1">IFERROR(__xludf.DUMMYFUNCTION("""COMPUTED_VALUE"""),"ems10260evd4018")</f>
        <v>ems10260evd4018</v>
      </c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 ht="15.75" customHeight="1" x14ac:dyDescent="0.2">
      <c r="A370" s="8">
        <f ca="1">IFERROR(__xludf.DUMMYFUNCTION("""COMPUTED_VALUE"""),45280.4440067476)</f>
        <v>45280.444006747603</v>
      </c>
      <c r="B370" s="1" t="str">
        <f ca="1">IFERROR(__xludf.DUMMYFUNCTION("""COMPUTED_VALUE"""),"CEC")</f>
        <v>CEC</v>
      </c>
      <c r="C370" s="1" t="str">
        <f ca="1">IFERROR(__xludf.DUMMYFUNCTION("""COMPUTED_VALUE"""),"ed940990095th")</f>
        <v>ed940990095th</v>
      </c>
      <c r="D370" s="1" t="str">
        <f ca="1">IFERROR(__xludf.DUMMYFUNCTION("""COMPUTED_VALUE"""),"-")</f>
        <v>-</v>
      </c>
      <c r="E370" s="1" t="str">
        <f ca="1">IFERROR(__xludf.DUMMYFUNCTION("""COMPUTED_VALUE"""),"086-0664047")</f>
        <v>086-0664047</v>
      </c>
      <c r="F370" s="1" t="str">
        <f ca="1">IFERROR(__xludf.DUMMYFUNCTION("""COMPUTED_VALUE"""),"บ.โยดา 818/91 โครงการเดอะมาสเตอร์ อุดมสุข")</f>
        <v>บ.โยดา 818/91 โครงการเดอะมาสเตอร์ อุดมสุข</v>
      </c>
      <c r="G370" s="1" t="str">
        <f ca="1">IFERROR(__xludf.DUMMYFUNCTION("""COMPUTED_VALUE"""),"ตรวจสอบการนำจ่าย")</f>
        <v>ตรวจสอบการนำจ่าย</v>
      </c>
      <c r="H370" s="1" t="str">
        <f ca="1">IFERROR(__xludf.DUMMYFUNCTION("""COMPUTED_VALUE"""),"-")</f>
        <v>-</v>
      </c>
      <c r="I370" s="1" t="str">
        <f ca="1">IFERROR(__xludf.DUMMYFUNCTION("""COMPUTED_VALUE"""),"-")</f>
        <v>-</v>
      </c>
      <c r="J370" s="1" t="str">
        <f ca="1">IFERROR(__xludf.DUMMYFUNCTION("""COMPUTED_VALUE"""),"นำจ่ายรถยนต์")</f>
        <v>นำจ่ายรถยนต์</v>
      </c>
      <c r="K370" s="1" t="str">
        <f ca="1">IFERROR(__xludf.DUMMYFUNCTION("""COMPUTED_VALUE"""),"car10260evd5005")</f>
        <v>car10260evd5005</v>
      </c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 ht="15.75" customHeight="1" x14ac:dyDescent="0.2">
      <c r="A371" s="8">
        <f ca="1">IFERROR(__xludf.DUMMYFUNCTION("""COMPUTED_VALUE"""),45280.4458412847)</f>
        <v>45280.445841284702</v>
      </c>
      <c r="B371" s="1" t="str">
        <f ca="1">IFERROR(__xludf.DUMMYFUNCTION("""COMPUTED_VALUE"""),"CEC")</f>
        <v>CEC</v>
      </c>
      <c r="C371" s="1" t="str">
        <f ca="1">IFERROR(__xludf.DUMMYFUNCTION("""COMPUTED_VALUE"""),"eb530416875th")</f>
        <v>eb530416875th</v>
      </c>
      <c r="D371" s="1" t="str">
        <f ca="1">IFERROR(__xludf.DUMMYFUNCTION("""COMPUTED_VALUE"""),"myo")</f>
        <v>myo</v>
      </c>
      <c r="E371" s="1" t="str">
        <f ca="1">IFERROR(__xludf.DUMMYFUNCTION("""COMPUTED_VALUE"""),"062-6827674")</f>
        <v>062-6827674</v>
      </c>
      <c r="F371" s="1" t="str">
        <f ca="1">IFERROR(__xludf.DUMMYFUNCTION("""COMPUTED_VALUE"""),"21/752 บ้านบางนาวิลล่า ไซค์งานก่อสร้าง")</f>
        <v>21/752 บ้านบางนาวิลล่า ไซค์งานก่อสร้าง</v>
      </c>
      <c r="G371" s="1" t="str">
        <f ca="1">IFERROR(__xludf.DUMMYFUNCTION("""COMPUTED_VALUE"""),"นำจ่ายใหม่")</f>
        <v>นำจ่ายใหม่</v>
      </c>
      <c r="H371" s="1" t="str">
        <f ca="1">IFERROR(__xludf.DUMMYFUNCTION("""COMPUTED_VALUE"""),"-")</f>
        <v>-</v>
      </c>
      <c r="I371" s="1" t="str">
        <f ca="1">IFERROR(__xludf.DUMMYFUNCTION("""COMPUTED_VALUE"""),"-")</f>
        <v>-</v>
      </c>
      <c r="J371" s="1" t="str">
        <f ca="1">IFERROR(__xludf.DUMMYFUNCTION("""COMPUTED_VALUE"""),"นำจ่ายรถยนต์")</f>
        <v>นำจ่ายรถยนต์</v>
      </c>
      <c r="K371" s="1" t="str">
        <f ca="1">IFERROR(__xludf.DUMMYFUNCTION("""COMPUTED_VALUE"""),"car10260evd5008")</f>
        <v>car10260evd5008</v>
      </c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 ht="15.75" customHeight="1" x14ac:dyDescent="0.2">
      <c r="A372" s="8">
        <f ca="1">IFERROR(__xludf.DUMMYFUNCTION("""COMPUTED_VALUE"""),45280.4556354513)</f>
        <v>45280.455635451297</v>
      </c>
      <c r="B372" s="1" t="str">
        <f ca="1">IFERROR(__xludf.DUMMYFUNCTION("""COMPUTED_VALUE"""),"CEC")</f>
        <v>CEC</v>
      </c>
      <c r="C372" s="1" t="str">
        <f ca="1">IFERROR(__xludf.DUMMYFUNCTION("""COMPUTED_VALUE"""),"eh073237303th")</f>
        <v>eh073237303th</v>
      </c>
      <c r="D372" s="1" t="str">
        <f ca="1">IFERROR(__xludf.DUMMYFUNCTION("""COMPUTED_VALUE"""),"จิณณ์")</f>
        <v>จิณณ์</v>
      </c>
      <c r="E372" s="1" t="str">
        <f ca="1">IFERROR(__xludf.DUMMYFUNCTION("""COMPUTED_VALUE"""),"099-6143514")</f>
        <v>099-6143514</v>
      </c>
      <c r="F372" s="1" t="str">
        <f ca="1">IFERROR(__xludf.DUMMYFUNCTION("""COMPUTED_VALUE"""),"232/138 ซ.ปุณณวิถี 8 ซ.101")</f>
        <v>232/138 ซ.ปุณณวิถี 8 ซ.101</v>
      </c>
      <c r="G372" s="1" t="str">
        <f ca="1">IFERROR(__xludf.DUMMYFUNCTION("""COMPUTED_VALUE"""),"ตรวจสอบการนำจ่าย")</f>
        <v>ตรวจสอบการนำจ่าย</v>
      </c>
      <c r="H372" s="1" t="str">
        <f ca="1">IFERROR(__xludf.DUMMYFUNCTION("""COMPUTED_VALUE"""),"-")</f>
        <v>-</v>
      </c>
      <c r="I372" s="1" t="str">
        <f ca="1">IFERROR(__xludf.DUMMYFUNCTION("""COMPUTED_VALUE"""),"-")</f>
        <v>-</v>
      </c>
      <c r="J372" s="1" t="str">
        <f ca="1">IFERROR(__xludf.DUMMYFUNCTION("""COMPUTED_VALUE"""),"DB3")</f>
        <v>DB3</v>
      </c>
      <c r="K372" s="1" t="str">
        <f ca="1">IFERROR(__xludf.DUMMYFUNCTION("""COMPUTED_VALUE"""),"ms10260evd3022")</f>
        <v>ms10260evd3022</v>
      </c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 ht="15.75" customHeight="1" x14ac:dyDescent="0.2">
      <c r="A373" s="8">
        <f ca="1">IFERROR(__xludf.DUMMYFUNCTION("""COMPUTED_VALUE"""),45280.4672537731)</f>
        <v>45280.467253773102</v>
      </c>
      <c r="B373" s="1" t="str">
        <f ca="1">IFERROR(__xludf.DUMMYFUNCTION("""COMPUTED_VALUE"""),"CEC")</f>
        <v>CEC</v>
      </c>
      <c r="C373" s="1" t="str">
        <f ca="1">IFERROR(__xludf.DUMMYFUNCTION("""COMPUTED_VALUE"""),"en554591049th")</f>
        <v>en554591049th</v>
      </c>
      <c r="D373" s="1" t="str">
        <f ca="1">IFERROR(__xludf.DUMMYFUNCTION("""COMPUTED_VALUE"""),"ประทีป")</f>
        <v>ประทีป</v>
      </c>
      <c r="E373" s="1" t="str">
        <f ca="1">IFERROR(__xludf.DUMMYFUNCTION("""COMPUTED_VALUE"""),"086-3127417")</f>
        <v>086-3127417</v>
      </c>
      <c r="F373" s="1" t="str">
        <f ca="1">IFERROR(__xludf.DUMMYFUNCTION("""COMPUTED_VALUE"""),"75/180 สุขุมวิท 85")</f>
        <v>75/180 สุขุมวิท 85</v>
      </c>
      <c r="G373" s="1" t="str">
        <f ca="1">IFERROR(__xludf.DUMMYFUNCTION("""COMPUTED_VALUE"""),"ตรวจสอบการนำจ่าย")</f>
        <v>ตรวจสอบการนำจ่าย</v>
      </c>
      <c r="H373" s="1" t="str">
        <f ca="1">IFERROR(__xludf.DUMMYFUNCTION("""COMPUTED_VALUE"""),"COD.598 บาท")</f>
        <v>COD.598 บาท</v>
      </c>
      <c r="I373" s="1"/>
      <c r="J373" s="1" t="str">
        <f ca="1">IFERROR(__xludf.DUMMYFUNCTION("""COMPUTED_VALUE"""),"นำจ่ายรถยนต์")</f>
        <v>นำจ่ายรถยนต์</v>
      </c>
      <c r="K373" s="1" t="str">
        <f ca="1">IFERROR(__xludf.DUMMYFUNCTION("""COMPUTED_VALUE"""),"car10260evd5013")</f>
        <v>car10260evd5013</v>
      </c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 ht="15.75" customHeight="1" x14ac:dyDescent="0.2">
      <c r="A374" s="8">
        <f ca="1">IFERROR(__xludf.DUMMYFUNCTION("""COMPUTED_VALUE"""),45280.4699661458)</f>
        <v>45280.4699661458</v>
      </c>
      <c r="B374" s="1" t="str">
        <f ca="1">IFERROR(__xludf.DUMMYFUNCTION("""COMPUTED_VALUE"""),"CEC")</f>
        <v>CEC</v>
      </c>
      <c r="C374" s="1" t="str">
        <f ca="1">IFERROR(__xludf.DUMMYFUNCTION("""COMPUTED_VALUE"""),"eb551740027th")</f>
        <v>eb551740027th</v>
      </c>
      <c r="D374" s="1" t="str">
        <f ca="1">IFERROR(__xludf.DUMMYFUNCTION("""COMPUTED_VALUE"""),"-")</f>
        <v>-</v>
      </c>
      <c r="E374" s="1" t="str">
        <f ca="1">IFERROR(__xludf.DUMMYFUNCTION("""COMPUTED_VALUE"""),"064-9871414")</f>
        <v>064-9871414</v>
      </c>
      <c r="F374" s="1" t="str">
        <f ca="1">IFERROR(__xludf.DUMMYFUNCTION("""COMPUTED_VALUE"""),"บ.สบายเอ็กซ์เพลส 14 ซ.สาธิต 14 ซ.101/1")</f>
        <v>บ.สบายเอ็กซ์เพลส 14 ซ.สาธิต 14 ซ.101/1</v>
      </c>
      <c r="G374" s="1" t="str">
        <f ca="1">IFERROR(__xludf.DUMMYFUNCTION("""COMPUTED_VALUE"""),"ตรวจสอบการนำจ่าย")</f>
        <v>ตรวจสอบการนำจ่าย</v>
      </c>
      <c r="H374" s="1" t="str">
        <f ca="1">IFERROR(__xludf.DUMMYFUNCTION("""COMPUTED_VALUE"""),"-")</f>
        <v>-</v>
      </c>
      <c r="I374" s="1" t="str">
        <f ca="1">IFERROR(__xludf.DUMMYFUNCTION("""COMPUTED_VALUE"""),"-")</f>
        <v>-</v>
      </c>
      <c r="J374" s="1" t="str">
        <f ca="1">IFERROR(__xludf.DUMMYFUNCTION("""COMPUTED_VALUE"""),"นำจ่ายรถยนต์")</f>
        <v>นำจ่ายรถยนต์</v>
      </c>
      <c r="K374" s="1" t="str">
        <f ca="1">IFERROR(__xludf.DUMMYFUNCTION("""COMPUTED_VALUE"""),"ems10260evd5011")</f>
        <v>ems10260evd5011</v>
      </c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 ht="15.75" customHeight="1" x14ac:dyDescent="0.2">
      <c r="A375" s="8">
        <f ca="1">IFERROR(__xludf.DUMMYFUNCTION("""COMPUTED_VALUE"""),45280.500206493)</f>
        <v>45280.500206493001</v>
      </c>
      <c r="B375" s="1" t="str">
        <f ca="1">IFERROR(__xludf.DUMMYFUNCTION("""COMPUTED_VALUE"""),"CEC")</f>
        <v>CEC</v>
      </c>
      <c r="C375" s="1" t="str">
        <f ca="1">IFERROR(__xludf.DUMMYFUNCTION("""COMPUTED_VALUE"""),"em394544449th")</f>
        <v>em394544449th</v>
      </c>
      <c r="D375" s="1" t="str">
        <f ca="1">IFERROR(__xludf.DUMMYFUNCTION("""COMPUTED_VALUE"""),"อารีวรรณ")</f>
        <v>อารีวรรณ</v>
      </c>
      <c r="E375" s="1" t="str">
        <f ca="1">IFERROR(__xludf.DUMMYFUNCTION("""COMPUTED_VALUE"""),"090-9930730")</f>
        <v>090-9930730</v>
      </c>
      <c r="F375" s="1" t="str">
        <f ca="1">IFERROR(__xludf.DUMMYFUNCTION("""COMPUTED_VALUE"""),"727 บ.ครัสเตียนี่ ซ.สุขุมวิท105")</f>
        <v>727 บ.ครัสเตียนี่ ซ.สุขุมวิท105</v>
      </c>
      <c r="G375" s="1" t="str">
        <f ca="1">IFERROR(__xludf.DUMMYFUNCTION("""COMPUTED_VALUE"""),"ตรวจสอบการนำจ่าย")</f>
        <v>ตรวจสอบการนำจ่าย</v>
      </c>
      <c r="H375" s="1" t="str">
        <f ca="1">IFERROR(__xludf.DUMMYFUNCTION("""COMPUTED_VALUE"""),"-")</f>
        <v>-</v>
      </c>
      <c r="I375" s="1" t="str">
        <f ca="1">IFERROR(__xludf.DUMMYFUNCTION("""COMPUTED_VALUE"""),"-")</f>
        <v>-</v>
      </c>
      <c r="J375" s="1" t="str">
        <f ca="1">IFERROR(__xludf.DUMMYFUNCTION("""COMPUTED_VALUE"""),"นำจ่ายรถยนต์")</f>
        <v>นำจ่ายรถยนต์</v>
      </c>
      <c r="K375" s="1" t="str">
        <f ca="1">IFERROR(__xludf.DUMMYFUNCTION("""COMPUTED_VALUE"""),"car10260evd5006")</f>
        <v>car10260evd5006</v>
      </c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 ht="15.75" customHeight="1" x14ac:dyDescent="0.2">
      <c r="A376" s="8">
        <f ca="1">IFERROR(__xludf.DUMMYFUNCTION("""COMPUTED_VALUE"""),45280.5059142939)</f>
        <v>45280.505914293899</v>
      </c>
      <c r="B376" s="1" t="str">
        <f ca="1">IFERROR(__xludf.DUMMYFUNCTION("""COMPUTED_VALUE"""),"CEC")</f>
        <v>CEC</v>
      </c>
      <c r="C376" s="1" t="str">
        <f ca="1">IFERROR(__xludf.DUMMYFUNCTION("""COMPUTED_VALUE"""),"ef236575483th")</f>
        <v>ef236575483th</v>
      </c>
      <c r="D376" s="1" t="str">
        <f ca="1">IFERROR(__xludf.DUMMYFUNCTION("""COMPUTED_VALUE"""),"วันสุดา")</f>
        <v>วันสุดา</v>
      </c>
      <c r="E376" s="1" t="str">
        <f ca="1">IFERROR(__xludf.DUMMYFUNCTION("""COMPUTED_VALUE"""),"094-4985044")</f>
        <v>094-4985044</v>
      </c>
      <c r="F376" s="1" t="str">
        <f ca="1">IFERROR(__xludf.DUMMYFUNCTION("""COMPUTED_VALUE"""),"325 บ้านศรีพงษ์ ซอย.ลาซาน 46")</f>
        <v>325 บ้านศรีพงษ์ ซอย.ลาซาน 46</v>
      </c>
      <c r="G376" s="1" t="str">
        <f ca="1">IFERROR(__xludf.DUMMYFUNCTION("""COMPUTED_VALUE"""),"นำจ่ายใหม่")</f>
        <v>นำจ่ายใหม่</v>
      </c>
      <c r="H376" s="1" t="str">
        <f ca="1">IFERROR(__xludf.DUMMYFUNCTION("""COMPUTED_VALUE"""),"-")</f>
        <v>-</v>
      </c>
      <c r="I376" s="1" t="str">
        <f ca="1">IFERROR(__xludf.DUMMYFUNCTION("""COMPUTED_VALUE"""),"-")</f>
        <v>-</v>
      </c>
      <c r="J376" s="1" t="str">
        <f ca="1">IFERROR(__xludf.DUMMYFUNCTION("""COMPUTED_VALUE"""),"DB1")</f>
        <v>DB1</v>
      </c>
      <c r="K376" s="1" t="str">
        <f ca="1">IFERROR(__xludf.DUMMYFUNCTION("""COMPUTED_VALUE"""),"ema10260evd1013")</f>
        <v>ema10260evd1013</v>
      </c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 ht="15.75" customHeight="1" x14ac:dyDescent="0.2">
      <c r="A377" s="9">
        <f ca="1">IFERROR(__xludf.DUMMYFUNCTION("""COMPUTED_VALUE"""),45280.5357118749)</f>
        <v>45280.535711874902</v>
      </c>
      <c r="B377" s="1" t="str">
        <f ca="1">IFERROR(__xludf.DUMMYFUNCTION("""COMPUTED_VALUE"""),"On Queue")</f>
        <v>On Queue</v>
      </c>
      <c r="C377" s="1" t="str">
        <f ca="1">IFERROR(__xludf.DUMMYFUNCTION("""COMPUTED_VALUE"""),"lp262770171sg")</f>
        <v>lp262770171sg</v>
      </c>
      <c r="D377" s="1" t="str">
        <f ca="1">IFERROR(__xludf.DUMMYFUNCTION("""COMPUTED_VALUE"""),"jiramet")</f>
        <v>jiramet</v>
      </c>
      <c r="E377" s="1" t="str">
        <f ca="1">IFERROR(__xludf.DUMMYFUNCTION("""COMPUTED_VALUE"""),"081-5619366")</f>
        <v>081-5619366</v>
      </c>
      <c r="F377" s="1" t="str">
        <f ca="1">IFERROR(__xludf.DUMMYFUNCTION("""COMPUTED_VALUE"""),"2013 ซอย.สุขุมวิท77")</f>
        <v>2013 ซอย.สุขุมวิท77</v>
      </c>
      <c r="G377" s="1" t="str">
        <f ca="1">IFERROR(__xludf.DUMMYFUNCTION("""COMPUTED_VALUE"""),"ตรวจสอบการนำจ่าย")</f>
        <v>ตรวจสอบการนำจ่าย</v>
      </c>
      <c r="H377" s="1" t="str">
        <f ca="1">IFERROR(__xludf.DUMMYFUNCTION("""COMPUTED_VALUE"""),"-")</f>
        <v>-</v>
      </c>
      <c r="I377" s="1" t="str">
        <f ca="1">IFERROR(__xludf.DUMMYFUNCTION("""COMPUTED_VALUE"""),"-")</f>
        <v>-</v>
      </c>
      <c r="J377" s="1" t="str">
        <f ca="1">IFERROR(__xludf.DUMMYFUNCTION("""COMPUTED_VALUE"""),"DB4")</f>
        <v>DB4</v>
      </c>
      <c r="K377" s="1" t="str">
        <f ca="1">IFERROR(__xludf.DUMMYFUNCTION("""COMPUTED_VALUE"""),"ems10260evd4023")</f>
        <v>ems10260evd4023</v>
      </c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 ht="15.75" customHeight="1" x14ac:dyDescent="0.2">
      <c r="A378" s="8">
        <f ca="1">IFERROR(__xludf.DUMMYFUNCTION("""COMPUTED_VALUE"""),45280.5710663425)</f>
        <v>45280.571066342498</v>
      </c>
      <c r="B378" s="1" t="str">
        <f ca="1">IFERROR(__xludf.DUMMYFUNCTION("""COMPUTED_VALUE"""),"CEC")</f>
        <v>CEC</v>
      </c>
      <c r="C378" s="1" t="str">
        <f ca="1">IFERROR(__xludf.DUMMYFUNCTION("""COMPUTED_VALUE"""),"ed979653765th")</f>
        <v>ed979653765th</v>
      </c>
      <c r="D378" s="1" t="str">
        <f ca="1">IFERROR(__xludf.DUMMYFUNCTION("""COMPUTED_VALUE"""),"มนต์ชัย ")</f>
        <v xml:space="preserve">มนต์ชัย </v>
      </c>
      <c r="E378" s="1" t="str">
        <f ca="1">IFERROR(__xludf.DUMMYFUNCTION("""COMPUTED_VALUE"""),"098-4169978")</f>
        <v>098-4169978</v>
      </c>
      <c r="F378" s="1" t="str">
        <f ca="1">IFERROR(__xludf.DUMMYFUNCTION("""COMPUTED_VALUE"""),"42 บางนา ตราด 50")</f>
        <v>42 บางนา ตราด 50</v>
      </c>
      <c r="G378" s="1" t="str">
        <f ca="1">IFERROR(__xludf.DUMMYFUNCTION("""COMPUTED_VALUE"""),"ตรวจสอบการนำจ่าย")</f>
        <v>ตรวจสอบการนำจ่าย</v>
      </c>
      <c r="H378" s="1"/>
      <c r="I378" s="1" t="str">
        <f ca="1">IFERROR(__xludf.DUMMYFUNCTION("""COMPUTED_VALUE"""),"-")</f>
        <v>-</v>
      </c>
      <c r="J378" s="1" t="str">
        <f ca="1">IFERROR(__xludf.DUMMYFUNCTION("""COMPUTED_VALUE"""),"นำจ่ายรถยนต์")</f>
        <v>นำจ่ายรถยนต์</v>
      </c>
      <c r="K378" s="1" t="str">
        <f ca="1">IFERROR(__xludf.DUMMYFUNCTION("""COMPUTED_VALUE"""),"car10260evd5007")</f>
        <v>car10260evd5007</v>
      </c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 ht="15.75" customHeight="1" x14ac:dyDescent="0.2">
      <c r="A379" s="8">
        <f ca="1">IFERROR(__xludf.DUMMYFUNCTION("""COMPUTED_VALUE"""),45280.571796412)</f>
        <v>45280.571796411998</v>
      </c>
      <c r="B379" s="1" t="str">
        <f ca="1">IFERROR(__xludf.DUMMYFUNCTION("""COMPUTED_VALUE"""),"CEC")</f>
        <v>CEC</v>
      </c>
      <c r="C379" s="1" t="str">
        <f ca="1">IFERROR(__xludf.DUMMYFUNCTION("""COMPUTED_VALUE"""),"ed979653774th")</f>
        <v>ed979653774th</v>
      </c>
      <c r="D379" s="1" t="str">
        <f ca="1">IFERROR(__xludf.DUMMYFUNCTION("""COMPUTED_VALUE"""),"มนต์ชัย")</f>
        <v>มนต์ชัย</v>
      </c>
      <c r="E379" s="1" t="str">
        <f ca="1">IFERROR(__xludf.DUMMYFUNCTION("""COMPUTED_VALUE"""),"098-4169978")</f>
        <v>098-4169978</v>
      </c>
      <c r="F379" s="1" t="str">
        <f ca="1">IFERROR(__xludf.DUMMYFUNCTION("""COMPUTED_VALUE"""),"42 บางนา ตราด 50")</f>
        <v>42 บางนา ตราด 50</v>
      </c>
      <c r="G379" s="1" t="str">
        <f ca="1">IFERROR(__xludf.DUMMYFUNCTION("""COMPUTED_VALUE"""),"ตรวจสอบการนำจ่าย")</f>
        <v>ตรวจสอบการนำจ่าย</v>
      </c>
      <c r="H379" s="1" t="str">
        <f ca="1">IFERROR(__xludf.DUMMYFUNCTION("""COMPUTED_VALUE"""),"-")</f>
        <v>-</v>
      </c>
      <c r="I379" s="1" t="str">
        <f ca="1">IFERROR(__xludf.DUMMYFUNCTION("""COMPUTED_VALUE"""),"-")</f>
        <v>-</v>
      </c>
      <c r="J379" s="1" t="str">
        <f ca="1">IFERROR(__xludf.DUMMYFUNCTION("""COMPUTED_VALUE"""),"นำจ่ายรถยนต์")</f>
        <v>นำจ่ายรถยนต์</v>
      </c>
      <c r="K379" s="1" t="str">
        <f ca="1">IFERROR(__xludf.DUMMYFUNCTION("""COMPUTED_VALUE"""),"car10260evd5007")</f>
        <v>car10260evd5007</v>
      </c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 ht="15.75" customHeight="1" x14ac:dyDescent="0.2">
      <c r="A380" s="8">
        <f ca="1">IFERROR(__xludf.DUMMYFUNCTION("""COMPUTED_VALUE"""),45280.5734312731)</f>
        <v>45280.5734312731</v>
      </c>
      <c r="B380" s="1" t="str">
        <f ca="1">IFERROR(__xludf.DUMMYFUNCTION("""COMPUTED_VALUE"""),"CEC")</f>
        <v>CEC</v>
      </c>
      <c r="C380" s="1" t="str">
        <f ca="1">IFERROR(__xludf.DUMMYFUNCTION("""COMPUTED_VALUE"""),"ed085974265th")</f>
        <v>ed085974265th</v>
      </c>
      <c r="D380" s="1" t="str">
        <f ca="1">IFERROR(__xludf.DUMMYFUNCTION("""COMPUTED_VALUE"""),"วัชรา")</f>
        <v>วัชรา</v>
      </c>
      <c r="E380" s="1" t="str">
        <f ca="1">IFERROR(__xludf.DUMMYFUNCTION("""COMPUTED_VALUE"""),"090-96330312/093-1959151")</f>
        <v>090-96330312/093-1959151</v>
      </c>
      <c r="F380" s="1" t="str">
        <f ca="1">IFERROR(__xludf.DUMMYFUNCTION("""COMPUTED_VALUE"""),"1083/25 คอนโดดิเอสแคป สุขุมวิท 101/1")</f>
        <v>1083/25 คอนโดดิเอสแคป สุขุมวิท 101/1</v>
      </c>
      <c r="G380" s="1" t="str">
        <f ca="1">IFERROR(__xludf.DUMMYFUNCTION("""COMPUTED_VALUE"""),"ตรวจสอบการนำจ่าย")</f>
        <v>ตรวจสอบการนำจ่าย</v>
      </c>
      <c r="H380" s="1" t="str">
        <f ca="1">IFERROR(__xludf.DUMMYFUNCTION("""COMPUTED_VALUE"""),"-")</f>
        <v>-</v>
      </c>
      <c r="I380" s="1" t="str">
        <f ca="1">IFERROR(__xludf.DUMMYFUNCTION("""COMPUTED_VALUE"""),"-")</f>
        <v>-</v>
      </c>
      <c r="J380" s="1" t="str">
        <f ca="1">IFERROR(__xludf.DUMMYFUNCTION("""COMPUTED_VALUE"""),"DB3")</f>
        <v>DB3</v>
      </c>
      <c r="K380" s="1" t="str">
        <f ca="1">IFERROR(__xludf.DUMMYFUNCTION("""COMPUTED_VALUE"""),"car10260evd3032")</f>
        <v>car10260evd3032</v>
      </c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 ht="15.75" customHeight="1" x14ac:dyDescent="0.2">
      <c r="A381" s="8">
        <f ca="1">IFERROR(__xludf.DUMMYFUNCTION("""COMPUTED_VALUE"""),45280.6293765046)</f>
        <v>45280.629376504599</v>
      </c>
      <c r="B381" s="1" t="str">
        <f ca="1">IFERROR(__xludf.DUMMYFUNCTION("""COMPUTED_VALUE"""),"CEC")</f>
        <v>CEC</v>
      </c>
      <c r="C381" s="1" t="str">
        <f ca="1">IFERROR(__xludf.DUMMYFUNCTION("""COMPUTED_VALUE"""),"eb957449096th")</f>
        <v>eb957449096th</v>
      </c>
      <c r="D381" s="1" t="str">
        <f ca="1">IFERROR(__xludf.DUMMYFUNCTION("""COMPUTED_VALUE"""),"ปุ๊ก")</f>
        <v>ปุ๊ก</v>
      </c>
      <c r="E381" s="1" t="str">
        <f ca="1">IFERROR(__xludf.DUMMYFUNCTION("""COMPUTED_VALUE"""),"0929817477")</f>
        <v>0929817477</v>
      </c>
      <c r="F381" s="1" t="str">
        <f ca="1">IFERROR(__xludf.DUMMYFUNCTION("""COMPUTED_VALUE"""),"1002/118 อุดมสุข 56")</f>
        <v>1002/118 อุดมสุข 56</v>
      </c>
      <c r="G381" s="1" t="str">
        <f ca="1">IFERROR(__xludf.DUMMYFUNCTION("""COMPUTED_VALUE"""),"นำจ่ายใหม่")</f>
        <v>นำจ่ายใหม่</v>
      </c>
      <c r="H381" s="1" t="str">
        <f ca="1">IFERROR(__xludf.DUMMYFUNCTION("""COMPUTED_VALUE"""),"[hkoxbf")</f>
        <v>[hkoxbf</v>
      </c>
      <c r="I381" s="1" t="str">
        <f ca="1">IFERROR(__xludf.DUMMYFUNCTION("""COMPUTED_VALUE"""),"แจ้งเจ้าหน้าที่นำจ่ายแล้ว")</f>
        <v>แจ้งเจ้าหน้าที่นำจ่ายแล้ว</v>
      </c>
      <c r="J381" s="1" t="str">
        <f ca="1">IFERROR(__xludf.DUMMYFUNCTION("""COMPUTED_VALUE"""),"DB2")</f>
        <v>DB2</v>
      </c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 ht="15.75" customHeight="1" x14ac:dyDescent="0.2">
      <c r="A382" s="8">
        <f ca="1">IFERROR(__xludf.DUMMYFUNCTION("""COMPUTED_VALUE"""),45280.630491655)</f>
        <v>45280.630491655</v>
      </c>
      <c r="B382" s="1" t="str">
        <f ca="1">IFERROR(__xludf.DUMMYFUNCTION("""COMPUTED_VALUE"""),"CEC")</f>
        <v>CEC</v>
      </c>
      <c r="C382" s="1" t="str">
        <f ca="1">IFERROR(__xludf.DUMMYFUNCTION("""COMPUTED_VALUE"""),"em302509222th")</f>
        <v>em302509222th</v>
      </c>
      <c r="D382" s="1" t="str">
        <f ca="1">IFERROR(__xludf.DUMMYFUNCTION("""COMPUTED_VALUE"""),"ทิพวรรณ")</f>
        <v>ทิพวรรณ</v>
      </c>
      <c r="E382" s="1" t="str">
        <f ca="1">IFERROR(__xludf.DUMMYFUNCTION("""COMPUTED_VALUE"""),"0894928384")</f>
        <v>0894928384</v>
      </c>
      <c r="F382" s="1" t="str">
        <f ca="1">IFERROR(__xludf.DUMMYFUNCTION("""COMPUTED_VALUE"""),"156 พึ่งมี21  ซ93")</f>
        <v>156 พึ่งมี21  ซ93</v>
      </c>
      <c r="G382" s="1" t="str">
        <f ca="1">IFERROR(__xludf.DUMMYFUNCTION("""COMPUTED_VALUE"""),"นำจ่ายใหม่")</f>
        <v>นำจ่ายใหม่</v>
      </c>
      <c r="H382" s="1" t="str">
        <f ca="1">IFERROR(__xludf.DUMMYFUNCTION("""COMPUTED_VALUE"""),"บ้านปิด")</f>
        <v>บ้านปิด</v>
      </c>
      <c r="I382" s="1" t="str">
        <f ca="1">IFERROR(__xludf.DUMMYFUNCTION("""COMPUTED_VALUE"""),"แจ้งเจ้าหน้าที่นำจ่ายแล้ว")</f>
        <v>แจ้งเจ้าหน้าที่นำจ่ายแล้ว</v>
      </c>
      <c r="J382" s="1" t="str">
        <f ca="1">IFERROR(__xludf.DUMMYFUNCTION("""COMPUTED_VALUE"""),"DB3")</f>
        <v>DB3</v>
      </c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 ht="15.75" customHeight="1" x14ac:dyDescent="0.2">
      <c r="A383" s="8">
        <f ca="1">IFERROR(__xludf.DUMMYFUNCTION("""COMPUTED_VALUE"""),45280.6376779398)</f>
        <v>45280.637677939798</v>
      </c>
      <c r="B383" s="1" t="str">
        <f ca="1">IFERROR(__xludf.DUMMYFUNCTION("""COMPUTED_VALUE"""),"CEC")</f>
        <v>CEC</v>
      </c>
      <c r="C383" s="1" t="str">
        <f ca="1">IFERROR(__xludf.DUMMYFUNCTION("""COMPUTED_VALUE"""),"ed944583976th")</f>
        <v>ed944583976th</v>
      </c>
      <c r="D383" s="1" t="str">
        <f ca="1">IFERROR(__xludf.DUMMYFUNCTION("""COMPUTED_VALUE"""),"หลี่ จิ้ง จง ")</f>
        <v xml:space="preserve">หลี่ จิ้ง จง </v>
      </c>
      <c r="E383" s="1" t="str">
        <f ca="1">IFERROR(__xludf.DUMMYFUNCTION("""COMPUTED_VALUE"""),"-")</f>
        <v>-</v>
      </c>
      <c r="F383" s="1" t="str">
        <f ca="1">IFERROR(__xludf.DUMMYFUNCTION("""COMPUTED_VALUE"""),"25/104อาคารมีสไตน์ ห้อง 808 ชั่น 8 สุขุมวิท")</f>
        <v>25/104อาคารมีสไตน์ ห้อง 808 ชั่น 8 สุขุมวิท</v>
      </c>
      <c r="G383" s="1" t="str">
        <f ca="1">IFERROR(__xludf.DUMMYFUNCTION("""COMPUTED_VALUE"""),"ตรวจสอบการนำจ่าย")</f>
        <v>ตรวจสอบการนำจ่าย</v>
      </c>
      <c r="H383" s="1" t="str">
        <f ca="1">IFERROR(__xludf.DUMMYFUNCTION("""COMPUTED_VALUE"""),"ตามใบตอบรับ")</f>
        <v>ตามใบตอบรับ</v>
      </c>
      <c r="I383" s="1" t="str">
        <f ca="1">IFERROR(__xludf.DUMMYFUNCTION("""COMPUTED_VALUE"""),"-")</f>
        <v>-</v>
      </c>
      <c r="J383" s="1" t="str">
        <f ca="1">IFERROR(__xludf.DUMMYFUNCTION("""COMPUTED_VALUE"""),"นำจ่ายรถยนต์")</f>
        <v>นำจ่ายรถยนต์</v>
      </c>
      <c r="K383" s="1" t="str">
        <f ca="1">IFERROR(__xludf.DUMMYFUNCTION("""COMPUTED_VALUE"""),"car10260evd5001")</f>
        <v>car10260evd5001</v>
      </c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 ht="15.75" customHeight="1" x14ac:dyDescent="0.2">
      <c r="A384" s="8">
        <f ca="1">IFERROR(__xludf.DUMMYFUNCTION("""COMPUTED_VALUE"""),45280.6391510995)</f>
        <v>45280.639151099502</v>
      </c>
      <c r="B384" s="1" t="str">
        <f ca="1">IFERROR(__xludf.DUMMYFUNCTION("""COMPUTED_VALUE"""),"CEC")</f>
        <v>CEC</v>
      </c>
      <c r="C384" s="1" t="str">
        <f ca="1">IFERROR(__xludf.DUMMYFUNCTION("""COMPUTED_VALUE"""),"ed034696280th")</f>
        <v>ed034696280th</v>
      </c>
      <c r="D384" s="1" t="str">
        <f ca="1">IFERROR(__xludf.DUMMYFUNCTION("""COMPUTED_VALUE"""),"thanaporn ")</f>
        <v xml:space="preserve">thanaporn </v>
      </c>
      <c r="E384" s="1" t="str">
        <f ca="1">IFERROR(__xludf.DUMMYFUNCTION("""COMPUTED_VALUE"""),"098-3963669")</f>
        <v>098-3963669</v>
      </c>
      <c r="F384" s="1" t="str">
        <f ca="1">IFERROR(__xludf.DUMMYFUNCTION("""COMPUTED_VALUE"""),"416 ร้านกาแฟ fofhobro สุขุมวิท68")</f>
        <v>416 ร้านกาแฟ fofhobro สุขุมวิท68</v>
      </c>
      <c r="G384" s="1" t="str">
        <f ca="1">IFERROR(__xludf.DUMMYFUNCTION("""COMPUTED_VALUE"""),"นำจ่ายใหม่")</f>
        <v>นำจ่ายใหม่</v>
      </c>
      <c r="H384" s="1" t="str">
        <f ca="1">IFERROR(__xludf.DUMMYFUNCTION("""COMPUTED_VALUE"""),"-")</f>
        <v>-</v>
      </c>
      <c r="I384" s="1" t="str">
        <f ca="1">IFERROR(__xludf.DUMMYFUNCTION("""COMPUTED_VALUE"""),"-")</f>
        <v>-</v>
      </c>
      <c r="J384" s="1" t="str">
        <f ca="1">IFERROR(__xludf.DUMMYFUNCTION("""COMPUTED_VALUE"""),"DB2")</f>
        <v>DB2</v>
      </c>
      <c r="K384" s="1" t="str">
        <f ca="1">IFERROR(__xludf.DUMMYFUNCTION("""COMPUTED_VALUE"""),"ems10260evd2006")</f>
        <v>ems10260evd2006</v>
      </c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 ht="15.75" customHeight="1" x14ac:dyDescent="0.2">
      <c r="A385" s="8">
        <f ca="1">IFERROR(__xludf.DUMMYFUNCTION("""COMPUTED_VALUE"""),45280.6463000115)</f>
        <v>45280.646300011504</v>
      </c>
      <c r="B385" s="1" t="str">
        <f ca="1">IFERROR(__xludf.DUMMYFUNCTION("""COMPUTED_VALUE"""),"CEC")</f>
        <v>CEC</v>
      </c>
      <c r="C385" s="1" t="str">
        <f ca="1">IFERROR(__xludf.DUMMYFUNCTION("""COMPUTED_VALUE"""),"ed032559343th")</f>
        <v>ed032559343th</v>
      </c>
      <c r="D385" s="1" t="str">
        <f ca="1">IFERROR(__xludf.DUMMYFUNCTION("""COMPUTED_VALUE"""),"สิินิทธา")</f>
        <v>สิินิทธา</v>
      </c>
      <c r="E385" s="1" t="str">
        <f ca="1">IFERROR(__xludf.DUMMYFUNCTION("""COMPUTED_VALUE"""),"0841900952")</f>
        <v>0841900952</v>
      </c>
      <c r="F385" s="1" t="str">
        <f ca="1">IFERROR(__xludf.DUMMYFUNCTION("""COMPUTED_VALUE"""),"9 อุดมสุข30 แยก7 -2-8")</f>
        <v>9 อุดมสุข30 แยก7 -2-8</v>
      </c>
      <c r="G385" s="1" t="str">
        <f ca="1">IFERROR(__xludf.DUMMYFUNCTION("""COMPUTED_VALUE"""),"นำจ่ายใหม่")</f>
        <v>นำจ่ายใหม่</v>
      </c>
      <c r="H385" s="1" t="str">
        <f ca="1">IFERROR(__xludf.DUMMYFUNCTION("""COMPUTED_VALUE"""),"บ้านปิด")</f>
        <v>บ้านปิด</v>
      </c>
      <c r="I385" s="1" t="str">
        <f ca="1">IFERROR(__xludf.DUMMYFUNCTION("""COMPUTED_VALUE"""),"แจ้งเจ้าหน้าที่นำจ่ายแล้ว")</f>
        <v>แจ้งเจ้าหน้าที่นำจ่ายแล้ว</v>
      </c>
      <c r="J385" s="1" t="str">
        <f ca="1">IFERROR(__xludf.DUMMYFUNCTION("""COMPUTED_VALUE"""),"DB2")</f>
        <v>DB2</v>
      </c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 ht="15.75" customHeight="1" x14ac:dyDescent="0.2">
      <c r="A386" s="8">
        <f ca="1">IFERROR(__xludf.DUMMYFUNCTION("""COMPUTED_VALUE"""),45281.4905690972)</f>
        <v>45281.490569097201</v>
      </c>
      <c r="B386" s="1" t="str">
        <f ca="1">IFERROR(__xludf.DUMMYFUNCTION("""COMPUTED_VALUE"""),"CEC")</f>
        <v>CEC</v>
      </c>
      <c r="C386" s="1" t="str">
        <f ca="1">IFERROR(__xludf.DUMMYFUNCTION("""COMPUTED_VALUE"""),"ob108991825th")</f>
        <v>ob108991825th</v>
      </c>
      <c r="D386" s="1" t="str">
        <f ca="1">IFERROR(__xludf.DUMMYFUNCTION("""COMPUTED_VALUE"""),"narut")</f>
        <v>narut</v>
      </c>
      <c r="E386" s="1" t="str">
        <f ca="1">IFERROR(__xludf.DUMMYFUNCTION("""COMPUTED_VALUE"""),"096-1707760")</f>
        <v>096-1707760</v>
      </c>
      <c r="F386" s="1" t="str">
        <f ca="1">IFERROR(__xludf.DUMMYFUNCTION("""COMPUTED_VALUE"""),"141 บ้านไพโรจน์ บางนา ตราด")</f>
        <v>141 บ้านไพโรจน์ บางนา ตราด</v>
      </c>
      <c r="G386" s="1" t="str">
        <f ca="1">IFERROR(__xludf.DUMMYFUNCTION("""COMPUTED_VALUE"""),"นำจ่ายใหม่")</f>
        <v>นำจ่ายใหม่</v>
      </c>
      <c r="H386" s="1" t="str">
        <f ca="1">IFERROR(__xludf.DUMMYFUNCTION("""COMPUTED_VALUE"""),"บ้านปิด")</f>
        <v>บ้านปิด</v>
      </c>
      <c r="I386" s="1" t="str">
        <f ca="1">IFERROR(__xludf.DUMMYFUNCTION("""COMPUTED_VALUE"""),"-")</f>
        <v>-</v>
      </c>
      <c r="J386" s="1" t="str">
        <f ca="1">IFERROR(__xludf.DUMMYFUNCTION("""COMPUTED_VALUE"""),"DB2")</f>
        <v>DB2</v>
      </c>
      <c r="K386" s="1" t="str">
        <f ca="1">IFERROR(__xludf.DUMMYFUNCTION("""COMPUTED_VALUE"""),"ms10260evd2011")</f>
        <v>ms10260evd2011</v>
      </c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 ht="15.75" customHeight="1" x14ac:dyDescent="0.2">
      <c r="A387" s="8">
        <f ca="1">IFERROR(__xludf.DUMMYFUNCTION("""COMPUTED_VALUE"""),45281.540682824)</f>
        <v>45281.540682824001</v>
      </c>
      <c r="B387" s="1" t="str">
        <f ca="1">IFERROR(__xludf.DUMMYFUNCTION("""COMPUTED_VALUE"""),"On Queue")</f>
        <v>On Queue</v>
      </c>
      <c r="C387" s="1" t="str">
        <f ca="1">IFERROR(__xludf.DUMMYFUNCTION("""COMPUTED_VALUE"""),"eb505726221th")</f>
        <v>eb505726221th</v>
      </c>
      <c r="D387" s="1" t="str">
        <f ca="1">IFERROR(__xludf.DUMMYFUNCTION("""COMPUTED_VALUE"""),"เพลรนภา")</f>
        <v>เพลรนภา</v>
      </c>
      <c r="E387" s="1" t="str">
        <f ca="1">IFERROR(__xludf.DUMMYFUNCTION("""COMPUTED_VALUE"""),"063-9366262")</f>
        <v>063-9366262</v>
      </c>
      <c r="F387" s="1" t="str">
        <f ca="1">IFERROR(__xludf.DUMMYFUNCTION("""COMPUTED_VALUE"""),"55 ซอย.สุขุมวิท 85")</f>
        <v>55 ซอย.สุขุมวิท 85</v>
      </c>
      <c r="G387" s="1" t="str">
        <f ca="1">IFERROR(__xludf.DUMMYFUNCTION("""COMPUTED_VALUE"""),"ตรวจสอบการนำจ่าย")</f>
        <v>ตรวจสอบการนำจ่าย</v>
      </c>
      <c r="H387" s="1" t="str">
        <f ca="1">IFERROR(__xludf.DUMMYFUNCTION("""COMPUTED_VALUE"""),"-")</f>
        <v>-</v>
      </c>
      <c r="I387" s="1" t="str">
        <f ca="1">IFERROR(__xludf.DUMMYFUNCTION("""COMPUTED_VALUE"""),"-")</f>
        <v>-</v>
      </c>
      <c r="J387" s="1" t="str">
        <f ca="1">IFERROR(__xludf.DUMMYFUNCTION("""COMPUTED_VALUE"""),"นำจ่ายรถยนต์")</f>
        <v>นำจ่ายรถยนต์</v>
      </c>
      <c r="K387" s="1" t="str">
        <f ca="1">IFERROR(__xludf.DUMMYFUNCTION("""COMPUTED_VALUE"""),"car10260evs5013")</f>
        <v>car10260evs5013</v>
      </c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 ht="15.75" customHeight="1" x14ac:dyDescent="0.2">
      <c r="A388" s="8">
        <f ca="1">IFERROR(__xludf.DUMMYFUNCTION("""COMPUTED_VALUE"""),45281.5417089351)</f>
        <v>45281.541708935103</v>
      </c>
      <c r="B388" s="1" t="str">
        <f ca="1">IFERROR(__xludf.DUMMYFUNCTION("""COMPUTED_VALUE"""),"On Queue")</f>
        <v>On Queue</v>
      </c>
      <c r="C388" s="1" t="str">
        <f ca="1">IFERROR(__xludf.DUMMYFUNCTION("""COMPUTED_VALUE"""),"ed134250552th")</f>
        <v>ed134250552th</v>
      </c>
      <c r="D388" s="1" t="str">
        <f ca="1">IFERROR(__xludf.DUMMYFUNCTION("""COMPUTED_VALUE"""),"วิศวยศ")</f>
        <v>วิศวยศ</v>
      </c>
      <c r="E388" s="1" t="str">
        <f ca="1">IFERROR(__xludf.DUMMYFUNCTION("""COMPUTED_VALUE"""),"094-9789352")</f>
        <v>094-9789352</v>
      </c>
      <c r="F388" s="1" t="str">
        <f ca="1">IFERROR(__xludf.DUMMYFUNCTION("""COMPUTED_VALUE"""),"23 บ.เจ เอส มิชั่น บางนา ตราด25")</f>
        <v>23 บ.เจ เอส มิชั่น บางนา ตราด25</v>
      </c>
      <c r="G388" s="1" t="str">
        <f ca="1">IFERROR(__xludf.DUMMYFUNCTION("""COMPUTED_VALUE"""),"ตรวจสอบการนำจ่าย")</f>
        <v>ตรวจสอบการนำจ่าย</v>
      </c>
      <c r="H388" s="1" t="str">
        <f ca="1">IFERROR(__xludf.DUMMYFUNCTION("""COMPUTED_VALUE"""),"-")</f>
        <v>-</v>
      </c>
      <c r="I388" s="1" t="str">
        <f ca="1">IFERROR(__xludf.DUMMYFUNCTION("""COMPUTED_VALUE"""),"-")</f>
        <v>-</v>
      </c>
      <c r="J388" s="1" t="str">
        <f ca="1">IFERROR(__xludf.DUMMYFUNCTION("""COMPUTED_VALUE"""),"DB2")</f>
        <v>DB2</v>
      </c>
      <c r="K388" s="1" t="str">
        <f ca="1">IFERROR(__xludf.DUMMYFUNCTION("""COMPUTED_VALUE"""),"ema10260evd2010")</f>
        <v>ema10260evd2010</v>
      </c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 ht="15.75" customHeight="1" x14ac:dyDescent="0.2">
      <c r="A389" s="8">
        <f ca="1">IFERROR(__xludf.DUMMYFUNCTION("""COMPUTED_VALUE"""),45281.5426094097)</f>
        <v>45281.542609409698</v>
      </c>
      <c r="B389" s="1" t="str">
        <f ca="1">IFERROR(__xludf.DUMMYFUNCTION("""COMPUTED_VALUE"""),"CEC")</f>
        <v>CEC</v>
      </c>
      <c r="C389" s="1" t="str">
        <f ca="1">IFERROR(__xludf.DUMMYFUNCTION("""COMPUTED_VALUE"""),"eb588299254th")</f>
        <v>eb588299254th</v>
      </c>
      <c r="D389" s="1" t="str">
        <f ca="1">IFERROR(__xludf.DUMMYFUNCTION("""COMPUTED_VALUE"""),"พิชา")</f>
        <v>พิชา</v>
      </c>
      <c r="E389" s="1" t="str">
        <f ca="1">IFERROR(__xludf.DUMMYFUNCTION("""COMPUTED_VALUE"""),"093-6731677")</f>
        <v>093-6731677</v>
      </c>
      <c r="F389" s="1" t="str">
        <f ca="1">IFERROR(__xludf.DUMMYFUNCTION("""COMPUTED_VALUE"""),"289/688 คอนโดเดอะเบส สุขุมวิท77")</f>
        <v>289/688 คอนโดเดอะเบส สุขุมวิท77</v>
      </c>
      <c r="G389" s="1" t="str">
        <f ca="1">IFERROR(__xludf.DUMMYFUNCTION("""COMPUTED_VALUE"""),"ตรวจสอบการนำจ่าย")</f>
        <v>ตรวจสอบการนำจ่าย</v>
      </c>
      <c r="H389" s="1" t="str">
        <f ca="1">IFERROR(__xludf.DUMMYFUNCTION("""COMPUTED_VALUE"""),"-")</f>
        <v>-</v>
      </c>
      <c r="I389" s="1" t="str">
        <f ca="1">IFERROR(__xludf.DUMMYFUNCTION("""COMPUTED_VALUE"""),"-")</f>
        <v>-</v>
      </c>
      <c r="J389" s="1" t="str">
        <f ca="1">IFERROR(__xludf.DUMMYFUNCTION("""COMPUTED_VALUE"""),"นำจ่ายรถยนต์")</f>
        <v>นำจ่ายรถยนต์</v>
      </c>
      <c r="K389" s="1" t="str">
        <f ca="1">IFERROR(__xludf.DUMMYFUNCTION("""COMPUTED_VALUE"""),"car10260evd5013")</f>
        <v>car10260evd5013</v>
      </c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 ht="15.75" customHeight="1" x14ac:dyDescent="0.2">
      <c r="A390" s="8">
        <f ca="1">IFERROR(__xludf.DUMMYFUNCTION("""COMPUTED_VALUE"""),45281.5913682523)</f>
        <v>45281.591368252302</v>
      </c>
      <c r="B390" s="1" t="str">
        <f ca="1">IFERROR(__xludf.DUMMYFUNCTION("""COMPUTED_VALUE"""),"CEC")</f>
        <v>CEC</v>
      </c>
      <c r="C390" s="1" t="str">
        <f ca="1">IFERROR(__xludf.DUMMYFUNCTION("""COMPUTED_VALUE"""),"em009622183th")</f>
        <v>em009622183th</v>
      </c>
      <c r="D390" s="1" t="str">
        <f ca="1">IFERROR(__xludf.DUMMYFUNCTION("""COMPUTED_VALUE"""),"วรินา")</f>
        <v>วรินา</v>
      </c>
      <c r="E390" s="1" t="str">
        <f ca="1">IFERROR(__xludf.DUMMYFUNCTION("""COMPUTED_VALUE"""),"061-8684175")</f>
        <v>061-8684175</v>
      </c>
      <c r="F390" s="1" t="str">
        <f ca="1">IFERROR(__xludf.DUMMYFUNCTION("""COMPUTED_VALUE"""),"หอพักวราลักษณ์ ซ.ลาซาน 24 บางนาใต้")</f>
        <v>หอพักวราลักษณ์ ซ.ลาซาน 24 บางนาใต้</v>
      </c>
      <c r="G390" s="1" t="str">
        <f ca="1">IFERROR(__xludf.DUMMYFUNCTION("""COMPUTED_VALUE"""),"นำจ่ายใหม่")</f>
        <v>นำจ่ายใหม่</v>
      </c>
      <c r="H390" s="1" t="str">
        <f ca="1">IFERROR(__xludf.DUMMYFUNCTION("""COMPUTED_VALUE"""),"-")</f>
        <v>-</v>
      </c>
      <c r="I390" s="1" t="str">
        <f ca="1">IFERROR(__xludf.DUMMYFUNCTION("""COMPUTED_VALUE"""),"-")</f>
        <v>-</v>
      </c>
      <c r="J390" s="1" t="str">
        <f ca="1">IFERROR(__xludf.DUMMYFUNCTION("""COMPUTED_VALUE"""),"DB1")</f>
        <v>DB1</v>
      </c>
      <c r="K390" s="1" t="str">
        <f ca="1">IFERROR(__xludf.DUMMYFUNCTION("""COMPUTED_VALUE"""),"ema10260evd1026")</f>
        <v>ema10260evd1026</v>
      </c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 ht="15.75" customHeight="1" x14ac:dyDescent="0.2">
      <c r="A391" s="8">
        <f ca="1">IFERROR(__xludf.DUMMYFUNCTION("""COMPUTED_VALUE"""),45281.5924058564)</f>
        <v>45281.592405856398</v>
      </c>
      <c r="B391" s="1" t="str">
        <f ca="1">IFERROR(__xludf.DUMMYFUNCTION("""COMPUTED_VALUE"""),"CEC")</f>
        <v>CEC</v>
      </c>
      <c r="C391" s="1" t="str">
        <f ca="1">IFERROR(__xludf.DUMMYFUNCTION("""COMPUTED_VALUE"""),"eb956572220th")</f>
        <v>eb956572220th</v>
      </c>
      <c r="D391" s="1" t="str">
        <f ca="1">IFERROR(__xludf.DUMMYFUNCTION("""COMPUTED_VALUE"""),"เสาวลักษณ์")</f>
        <v>เสาวลักษณ์</v>
      </c>
      <c r="E391" s="1" t="str">
        <f ca="1">IFERROR(__xludf.DUMMYFUNCTION("""COMPUTED_VALUE"""),"087-3368501")</f>
        <v>087-3368501</v>
      </c>
      <c r="F391" s="1" t="str">
        <f ca="1">IFERROR(__xludf.DUMMYFUNCTION("""COMPUTED_VALUE"""),"99/436 คอนโดเอลลอโด ซ.สุขุมวิท64")</f>
        <v>99/436 คอนโดเอลลอโด ซ.สุขุมวิท64</v>
      </c>
      <c r="G391" s="1" t="str">
        <f ca="1">IFERROR(__xludf.DUMMYFUNCTION("""COMPUTED_VALUE"""),"ตรวจสอบการนำจ่าย")</f>
        <v>ตรวจสอบการนำจ่าย</v>
      </c>
      <c r="H391" s="1" t="str">
        <f ca="1">IFERROR(__xludf.DUMMYFUNCTION("""COMPUTED_VALUE"""),"-")</f>
        <v>-</v>
      </c>
      <c r="I391" s="1" t="str">
        <f ca="1">IFERROR(__xludf.DUMMYFUNCTION("""COMPUTED_VALUE"""),"-")</f>
        <v>-</v>
      </c>
      <c r="J391" s="1" t="str">
        <f ca="1">IFERROR(__xludf.DUMMYFUNCTION("""COMPUTED_VALUE"""),"นำจ่ายรถยนต์")</f>
        <v>นำจ่ายรถยนต์</v>
      </c>
      <c r="K391" s="1" t="str">
        <f ca="1">IFERROR(__xludf.DUMMYFUNCTION("""COMPUTED_VALUE"""),"car10260evd5003")</f>
        <v>car10260evd5003</v>
      </c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 ht="15.75" customHeight="1" x14ac:dyDescent="0.2">
      <c r="A392" s="8">
        <f ca="1">IFERROR(__xludf.DUMMYFUNCTION("""COMPUTED_VALUE"""),45281.6209799768)</f>
        <v>45281.620979976797</v>
      </c>
      <c r="B392" s="1" t="str">
        <f ca="1">IFERROR(__xludf.DUMMYFUNCTION("""COMPUTED_VALUE"""),"CEC")</f>
        <v>CEC</v>
      </c>
      <c r="C392" s="1" t="str">
        <f ca="1">IFERROR(__xludf.DUMMYFUNCTION("""COMPUTED_VALUE"""),"ed087671917th")</f>
        <v>ed087671917th</v>
      </c>
      <c r="D392" s="1" t="str">
        <f ca="1">IFERROR(__xludf.DUMMYFUNCTION("""COMPUTED_VALUE"""),"นุจรีย์")</f>
        <v>นุจรีย์</v>
      </c>
      <c r="E392" s="1" t="str">
        <f ca="1">IFERROR(__xludf.DUMMYFUNCTION("""COMPUTED_VALUE"""),"089-0740999")</f>
        <v>089-0740999</v>
      </c>
      <c r="F392" s="1" t="str">
        <f ca="1">IFERROR(__xludf.DUMMYFUNCTION("""COMPUTED_VALUE"""),"1858/79 อ.อินเตอร์ลิ้งค์ ตึกเนชั่น ชั้น17")</f>
        <v>1858/79 อ.อินเตอร์ลิ้งค์ ตึกเนชั่น ชั้น17</v>
      </c>
      <c r="G392" s="1" t="str">
        <f ca="1">IFERROR(__xludf.DUMMYFUNCTION("""COMPUTED_VALUE"""),"ตรวจสอบการนำจ่าย")</f>
        <v>ตรวจสอบการนำจ่าย</v>
      </c>
      <c r="H392" s="1" t="str">
        <f ca="1">IFERROR(__xludf.DUMMYFUNCTION("""COMPUTED_VALUE"""),"-")</f>
        <v>-</v>
      </c>
      <c r="I392" s="1" t="str">
        <f ca="1">IFERROR(__xludf.DUMMYFUNCTION("""COMPUTED_VALUE"""),"-")</f>
        <v>-</v>
      </c>
      <c r="J392" s="1" t="str">
        <f ca="1">IFERROR(__xludf.DUMMYFUNCTION("""COMPUTED_VALUE"""),"นำจ่ายรถยนต์")</f>
        <v>นำจ่ายรถยนต์</v>
      </c>
      <c r="K392" s="1" t="str">
        <f ca="1">IFERROR(__xludf.DUMMYFUNCTION("""COMPUTED_VALUE"""),"car10260evd5008")</f>
        <v>car10260evd5008</v>
      </c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 ht="15.75" customHeight="1" x14ac:dyDescent="0.2">
      <c r="A393" s="8">
        <f ca="1">IFERROR(__xludf.DUMMYFUNCTION("""COMPUTED_VALUE"""),45282.4163540046)</f>
        <v>45282.416354004599</v>
      </c>
      <c r="B393" s="1" t="str">
        <f ca="1">IFERROR(__xludf.DUMMYFUNCTION("""COMPUTED_VALUE"""),"CEC")</f>
        <v>CEC</v>
      </c>
      <c r="C393" s="1" t="str">
        <f ca="1">IFERROR(__xludf.DUMMYFUNCTION("""COMPUTED_VALUE"""),"eb531750039th")</f>
        <v>eb531750039th</v>
      </c>
      <c r="D393" s="1" t="str">
        <f ca="1">IFERROR(__xludf.DUMMYFUNCTION("""COMPUTED_VALUE"""),"ภิรญา")</f>
        <v>ภิรญา</v>
      </c>
      <c r="E393" s="1" t="str">
        <f ca="1">IFERROR(__xludf.DUMMYFUNCTION("""COMPUTED_VALUE"""),"0825814169")</f>
        <v>0825814169</v>
      </c>
      <c r="F393" s="1" t="str">
        <f ca="1">IFERROR(__xludf.DUMMYFUNCTION("""COMPUTED_VALUE"""),"8-10 วชิรธรรมสาธิต 58")</f>
        <v>8-10 วชิรธรรมสาธิต 58</v>
      </c>
      <c r="G393" s="1" t="str">
        <f ca="1">IFERROR(__xludf.DUMMYFUNCTION("""COMPUTED_VALUE"""),"นำจ่ายใหม่")</f>
        <v>นำจ่ายใหม่</v>
      </c>
      <c r="H393" s="1" t="str">
        <f ca="1">IFERROR(__xludf.DUMMYFUNCTION("""COMPUTED_VALUE"""),"บ้านปิด")</f>
        <v>บ้านปิด</v>
      </c>
      <c r="I393" s="1" t="str">
        <f ca="1">IFERROR(__xludf.DUMMYFUNCTION("""COMPUTED_VALUE"""),"แจ้งเจ้าหน้าที่นำจ่ายแล้ว")</f>
        <v>แจ้งเจ้าหน้าที่นำจ่ายแล้ว</v>
      </c>
      <c r="J393" s="1" t="str">
        <f ca="1">IFERROR(__xludf.DUMMYFUNCTION("""COMPUTED_VALUE"""),"DB3")</f>
        <v>DB3</v>
      </c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 ht="15.75" customHeight="1" x14ac:dyDescent="0.2">
      <c r="A394" s="8">
        <f ca="1">IFERROR(__xludf.DUMMYFUNCTION("""COMPUTED_VALUE"""),45282.4175749768)</f>
        <v>45282.417574976796</v>
      </c>
      <c r="B394" s="1" t="str">
        <f ca="1">IFERROR(__xludf.DUMMYFUNCTION("""COMPUTED_VALUE"""),"CEC")</f>
        <v>CEC</v>
      </c>
      <c r="C394" s="1" t="str">
        <f ca="1">IFERROR(__xludf.DUMMYFUNCTION("""COMPUTED_VALUE"""),"em817368666th")</f>
        <v>em817368666th</v>
      </c>
      <c r="D394" s="1" t="str">
        <f ca="1">IFERROR(__xludf.DUMMYFUNCTION("""COMPUTED_VALUE"""),"บรรจง")</f>
        <v>บรรจง</v>
      </c>
      <c r="E394" s="1" t="str">
        <f ca="1">IFERROR(__xludf.DUMMYFUNCTION("""COMPUTED_VALUE"""),"086-3665176")</f>
        <v>086-3665176</v>
      </c>
      <c r="F394" s="1" t="str">
        <f ca="1">IFERROR(__xludf.DUMMYFUNCTION("""COMPUTED_VALUE"""),"193/1-7 บุญธิมาอพาร์ทเมนท์  ซ.101")</f>
        <v>193/1-7 บุญธิมาอพาร์ทเมนท์  ซ.101</v>
      </c>
      <c r="G394" s="1" t="str">
        <f ca="1">IFERROR(__xludf.DUMMYFUNCTION("""COMPUTED_VALUE"""),"ตรวจสอบการนำจ่าย")</f>
        <v>ตรวจสอบการนำจ่าย</v>
      </c>
      <c r="H394" s="1" t="str">
        <f ca="1">IFERROR(__xludf.DUMMYFUNCTION("""COMPUTED_VALUE"""),"-")</f>
        <v>-</v>
      </c>
      <c r="I394" s="1" t="str">
        <f ca="1">IFERROR(__xludf.DUMMYFUNCTION("""COMPUTED_VALUE"""),"-")</f>
        <v>-</v>
      </c>
      <c r="J394" s="1" t="str">
        <f ca="1">IFERROR(__xludf.DUMMYFUNCTION("""COMPUTED_VALUE"""),"นำจ่ายรถยนต์")</f>
        <v>นำจ่ายรถยนต์</v>
      </c>
      <c r="K394" s="1" t="str">
        <f ca="1">IFERROR(__xludf.DUMMYFUNCTION("""COMPUTED_VALUE"""),"car10260evd5012")</f>
        <v>car10260evd5012</v>
      </c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 ht="15.75" customHeight="1" x14ac:dyDescent="0.2">
      <c r="A395" s="8">
        <f ca="1">IFERROR(__xludf.DUMMYFUNCTION("""COMPUTED_VALUE"""),45282.4175842013)</f>
        <v>45282.417584201299</v>
      </c>
      <c r="B395" s="1" t="str">
        <f ca="1">IFERROR(__xludf.DUMMYFUNCTION("""COMPUTED_VALUE"""),"CEC")</f>
        <v>CEC</v>
      </c>
      <c r="C395" s="1" t="str">
        <f ca="1">IFERROR(__xludf.DUMMYFUNCTION("""COMPUTED_VALUE"""),"eo5201722621")</f>
        <v>eo5201722621</v>
      </c>
      <c r="D395" s="1" t="str">
        <f ca="1">IFERROR(__xludf.DUMMYFUNCTION("""COMPUTED_VALUE"""),"บัญฑิต")</f>
        <v>บัญฑิต</v>
      </c>
      <c r="E395" s="1" t="str">
        <f ca="1">IFERROR(__xludf.DUMMYFUNCTION("""COMPUTED_VALUE"""),"0811703588")</f>
        <v>0811703588</v>
      </c>
      <c r="F395" s="1" t="str">
        <f ca="1">IFERROR(__xludf.DUMMYFUNCTION("""COMPUTED_VALUE"""),"1070/23 วชิรธรรมสาธิต 40")</f>
        <v>1070/23 วชิรธรรมสาธิต 40</v>
      </c>
      <c r="G395" s="1" t="str">
        <f ca="1">IFERROR(__xludf.DUMMYFUNCTION("""COMPUTED_VALUE"""),"นำจ่ายใหม่")</f>
        <v>นำจ่ายใหม่</v>
      </c>
      <c r="H395" s="1" t="str">
        <f ca="1">IFERROR(__xludf.DUMMYFUNCTION("""COMPUTED_VALUE"""),"บ้นปิด")</f>
        <v>บ้นปิด</v>
      </c>
      <c r="I395" s="1" t="str">
        <f ca="1">IFERROR(__xludf.DUMMYFUNCTION("""COMPUTED_VALUE"""),"แจ้งเจ้าหน้าที่นำจ่ายแล้ว")</f>
        <v>แจ้งเจ้าหน้าที่นำจ่ายแล้ว</v>
      </c>
      <c r="J395" s="1" t="str">
        <f ca="1">IFERROR(__xludf.DUMMYFUNCTION("""COMPUTED_VALUE"""),"DB3")</f>
        <v>DB3</v>
      </c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 ht="15.75" customHeight="1" x14ac:dyDescent="0.2">
      <c r="A396" s="8">
        <f ca="1">IFERROR(__xludf.DUMMYFUNCTION("""COMPUTED_VALUE"""),45282.4241377662)</f>
        <v>45282.424137766197</v>
      </c>
      <c r="B396" s="1" t="str">
        <f ca="1">IFERROR(__xludf.DUMMYFUNCTION("""COMPUTED_VALUE"""),"CEC")</f>
        <v>CEC</v>
      </c>
      <c r="C396" s="1" t="str">
        <f ca="1">IFERROR(__xludf.DUMMYFUNCTION("""COMPUTED_VALUE"""),"ea909544018th")</f>
        <v>ea909544018th</v>
      </c>
      <c r="D396" s="1" t="str">
        <f ca="1">IFERROR(__xludf.DUMMYFUNCTION("""COMPUTED_VALUE"""),"ไสวพรรณ์")</f>
        <v>ไสวพรรณ์</v>
      </c>
      <c r="E396" s="1" t="str">
        <f ca="1">IFERROR(__xludf.DUMMYFUNCTION("""COMPUTED_VALUE"""),"090-9701615")</f>
        <v>090-9701615</v>
      </c>
      <c r="F396" s="1" t="str">
        <f ca="1">IFERROR(__xludf.DUMMYFUNCTION("""COMPUTED_VALUE"""),"193/7 บุญธิมาอพาร์ทเมนท์ ซ.101")</f>
        <v>193/7 บุญธิมาอพาร์ทเมนท์ ซ.101</v>
      </c>
      <c r="G396" s="1" t="str">
        <f ca="1">IFERROR(__xludf.DUMMYFUNCTION("""COMPUTED_VALUE"""),"ตรวจสอบการนำจ่าย")</f>
        <v>ตรวจสอบการนำจ่าย</v>
      </c>
      <c r="H396" s="1" t="str">
        <f ca="1">IFERROR(__xludf.DUMMYFUNCTION("""COMPUTED_VALUE"""),"COD.390 บาท")</f>
        <v>COD.390 บาท</v>
      </c>
      <c r="I396" s="1" t="str">
        <f ca="1">IFERROR(__xludf.DUMMYFUNCTION("""COMPUTED_VALUE"""),"-")</f>
        <v>-</v>
      </c>
      <c r="J396" s="1" t="str">
        <f ca="1">IFERROR(__xludf.DUMMYFUNCTION("""COMPUTED_VALUE"""),"DB3")</f>
        <v>DB3</v>
      </c>
      <c r="K396" s="1" t="str">
        <f ca="1">IFERROR(__xludf.DUMMYFUNCTION("""COMPUTED_VALUE"""),"ems10260evd3014")</f>
        <v>ems10260evd3014</v>
      </c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 ht="15.75" customHeight="1" x14ac:dyDescent="0.2">
      <c r="A397" s="8">
        <f ca="1">IFERROR(__xludf.DUMMYFUNCTION("""COMPUTED_VALUE"""),45282.4312011111)</f>
        <v>45282.431201111103</v>
      </c>
      <c r="B397" s="1" t="str">
        <f ca="1">IFERROR(__xludf.DUMMYFUNCTION("""COMPUTED_VALUE"""),"On Queue")</f>
        <v>On Queue</v>
      </c>
      <c r="C397" s="1" t="str">
        <f ca="1">IFERROR(__xludf.DUMMYFUNCTION("""COMPUTED_VALUE"""),"ex607246526th")</f>
        <v>ex607246526th</v>
      </c>
      <c r="D397" s="1" t="str">
        <f ca="1">IFERROR(__xludf.DUMMYFUNCTION("""COMPUTED_VALUE"""),"-")</f>
        <v>-</v>
      </c>
      <c r="E397" s="1" t="str">
        <f ca="1">IFERROR(__xludf.DUMMYFUNCTION("""COMPUTED_VALUE"""),"082-7229993")</f>
        <v>082-7229993</v>
      </c>
      <c r="F397" s="1" t="str">
        <f ca="1">IFERROR(__xludf.DUMMYFUNCTION("""COMPUTED_VALUE"""),"103 โรงเหล็ก ซอย.อุดมสุข 56 สุขุมวิท103")</f>
        <v>103 โรงเหล็ก ซอย.อุดมสุข 56 สุขุมวิท103</v>
      </c>
      <c r="G397" s="1" t="str">
        <f ca="1">IFERROR(__xludf.DUMMYFUNCTION("""COMPUTED_VALUE"""),"ตรวจสอบการนำจ่าย")</f>
        <v>ตรวจสอบการนำจ่าย</v>
      </c>
      <c r="H397" s="1" t="str">
        <f ca="1">IFERROR(__xludf.DUMMYFUNCTION("""COMPUTED_VALUE"""),"นำจ่ายผิดบ้านขอคืน")</f>
        <v>นำจ่ายผิดบ้านขอคืน</v>
      </c>
      <c r="I397" s="1" t="str">
        <f ca="1">IFERROR(__xludf.DUMMYFUNCTION("""COMPUTED_VALUE"""),"-")</f>
        <v>-</v>
      </c>
      <c r="J397" s="1" t="str">
        <f ca="1">IFERROR(__xludf.DUMMYFUNCTION("""COMPUTED_VALUE"""),"DB2")</f>
        <v>DB2</v>
      </c>
      <c r="K397" s="1" t="str">
        <f ca="1">IFERROR(__xludf.DUMMYFUNCTION("""COMPUTED_VALUE"""),"ems10260evd2014")</f>
        <v>ems10260evd2014</v>
      </c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 ht="15.75" customHeight="1" x14ac:dyDescent="0.2">
      <c r="A398" s="8">
        <f ca="1">IFERROR(__xludf.DUMMYFUNCTION("""COMPUTED_VALUE"""),45282.440884074)</f>
        <v>45282.440884074</v>
      </c>
      <c r="B398" s="1" t="str">
        <f ca="1">IFERROR(__xludf.DUMMYFUNCTION("""COMPUTED_VALUE"""),"CEC")</f>
        <v>CEC</v>
      </c>
      <c r="C398" s="1" t="str">
        <f ca="1">IFERROR(__xludf.DUMMYFUNCTION("""COMPUTED_VALUE"""),"em490224795th")</f>
        <v>em490224795th</v>
      </c>
      <c r="D398" s="1" t="str">
        <f ca="1">IFERROR(__xludf.DUMMYFUNCTION("""COMPUTED_VALUE"""),"เอมมี่")</f>
        <v>เอมมี่</v>
      </c>
      <c r="E398" s="1" t="str">
        <f ca="1">IFERROR(__xludf.DUMMYFUNCTION("""COMPUTED_VALUE"""),"095-6659069")</f>
        <v>095-6659069</v>
      </c>
      <c r="F398" s="1" t="str">
        <f ca="1">IFERROR(__xludf.DUMMYFUNCTION("""COMPUTED_VALUE"""),"17/2 ซอย.พงษ์เวชอนุสรณ์ 2 ซ.101")</f>
        <v>17/2 ซอย.พงษ์เวชอนุสรณ์ 2 ซ.101</v>
      </c>
      <c r="G398" s="1" t="str">
        <f ca="1">IFERROR(__xludf.DUMMYFUNCTION("""COMPUTED_VALUE"""),"นำจ่ายใหม่")</f>
        <v>นำจ่ายใหม่</v>
      </c>
      <c r="H398" s="1" t="str">
        <f ca="1">IFERROR(__xludf.DUMMYFUNCTION("""COMPUTED_VALUE"""),"ออกใบแจ้ง")</f>
        <v>ออกใบแจ้ง</v>
      </c>
      <c r="I398" s="1" t="str">
        <f ca="1">IFERROR(__xludf.DUMMYFUNCTION("""COMPUTED_VALUE"""),"-")</f>
        <v>-</v>
      </c>
      <c r="J398" s="1" t="str">
        <f ca="1">IFERROR(__xludf.DUMMYFUNCTION("""COMPUTED_VALUE"""),"DB4")</f>
        <v>DB4</v>
      </c>
      <c r="K398" s="1" t="str">
        <f ca="1">IFERROR(__xludf.DUMMYFUNCTION("""COMPUTED_VALUE"""),"ema10260evd4001")</f>
        <v>ema10260evd4001</v>
      </c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 ht="15.75" customHeight="1" x14ac:dyDescent="0.2">
      <c r="A399" s="8">
        <f ca="1">IFERROR(__xludf.DUMMYFUNCTION("""COMPUTED_VALUE"""),45282.4453152314)</f>
        <v>45282.445315231402</v>
      </c>
      <c r="B399" s="1" t="str">
        <f ca="1">IFERROR(__xludf.DUMMYFUNCTION("""COMPUTED_VALUE"""),"On Queue")</f>
        <v>On Queue</v>
      </c>
      <c r="C399" s="1" t="str">
        <f ca="1">IFERROR(__xludf.DUMMYFUNCTION("""COMPUTED_VALUE"""),"em230753835th")</f>
        <v>em230753835th</v>
      </c>
      <c r="D399" s="1" t="str">
        <f ca="1">IFERROR(__xludf.DUMMYFUNCTION("""COMPUTED_VALUE"""),"นันชรินทร์")</f>
        <v>นันชรินทร์</v>
      </c>
      <c r="E399" s="1" t="str">
        <f ca="1">IFERROR(__xludf.DUMMYFUNCTION("""COMPUTED_VALUE"""),"089-2049980")</f>
        <v>089-2049980</v>
      </c>
      <c r="F399" s="1" t="str">
        <f ca="1">IFERROR(__xludf.DUMMYFUNCTION("""COMPUTED_VALUE"""),"867/120 ซ.ปุณณวิถี 49 สุขุมวิท 101")</f>
        <v>867/120 ซ.ปุณณวิถี 49 สุขุมวิท 101</v>
      </c>
      <c r="G399" s="1" t="str">
        <f ca="1">IFERROR(__xludf.DUMMYFUNCTION("""COMPUTED_VALUE"""),"ตรวจสอบการนำจ่าย")</f>
        <v>ตรวจสอบการนำจ่าย</v>
      </c>
      <c r="H399" s="1" t="str">
        <f ca="1">IFERROR(__xludf.DUMMYFUNCTION("""COMPUTED_VALUE"""),"-")</f>
        <v>-</v>
      </c>
      <c r="I399" s="1" t="str">
        <f ca="1">IFERROR(__xludf.DUMMYFUNCTION("""COMPUTED_VALUE"""),"-")</f>
        <v>-</v>
      </c>
      <c r="J399" s="1" t="str">
        <f ca="1">IFERROR(__xludf.DUMMYFUNCTION("""COMPUTED_VALUE"""),"DB4")</f>
        <v>DB4</v>
      </c>
      <c r="K399" s="1" t="str">
        <f ca="1">IFERROR(__xludf.DUMMYFUNCTION("""COMPUTED_VALUE"""),"ema10260evd4001")</f>
        <v>ema10260evd4001</v>
      </c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ht="15.75" customHeight="1" x14ac:dyDescent="0.2">
      <c r="A400" s="8">
        <f ca="1">IFERROR(__xludf.DUMMYFUNCTION("""COMPUTED_VALUE"""),45282.4480031018)</f>
        <v>45282.448003101803</v>
      </c>
      <c r="B400" s="1" t="str">
        <f ca="1">IFERROR(__xludf.DUMMYFUNCTION("""COMPUTED_VALUE"""),"CEC")</f>
        <v>CEC</v>
      </c>
      <c r="C400" s="1" t="str">
        <f ca="1">IFERROR(__xludf.DUMMYFUNCTION("""COMPUTED_VALUE"""),"lp049158327th")</f>
        <v>lp049158327th</v>
      </c>
      <c r="D400" s="1" t="str">
        <f ca="1">IFERROR(__xludf.DUMMYFUNCTION("""COMPUTED_VALUE"""),"dawrueng ")</f>
        <v xml:space="preserve">dawrueng </v>
      </c>
      <c r="E400" s="1" t="str">
        <f ca="1">IFERROR(__xludf.DUMMYFUNCTION("""COMPUTED_VALUE"""),"095-9542505")</f>
        <v>095-9542505</v>
      </c>
      <c r="F400" s="1" t="str">
        <f ca="1">IFERROR(__xludf.DUMMYFUNCTION("""COMPUTED_VALUE"""),"6 อพาร์ทมเนท์มายด์เฮ้าส์ ซ.ปุณณ12")</f>
        <v>6 อพาร์ทมเนท์มายด์เฮ้าส์ ซ.ปุณณ12</v>
      </c>
      <c r="G400" s="1" t="str">
        <f ca="1">IFERROR(__xludf.DUMMYFUNCTION("""COMPUTED_VALUE"""),"ตรวจสอบการนำจ่าย")</f>
        <v>ตรวจสอบการนำจ่าย</v>
      </c>
      <c r="H400" s="1" t="str">
        <f ca="1">IFERROR(__xludf.DUMMYFUNCTION("""COMPUTED_VALUE"""),"-")</f>
        <v>-</v>
      </c>
      <c r="I400" s="1" t="str">
        <f ca="1">IFERROR(__xludf.DUMMYFUNCTION("""COMPUTED_VALUE"""),"-")</f>
        <v>-</v>
      </c>
      <c r="J400" s="1" t="str">
        <f ca="1">IFERROR(__xludf.DUMMYFUNCTION("""COMPUTED_VALUE"""),"DB3")</f>
        <v>DB3</v>
      </c>
      <c r="K400" s="1" t="str">
        <f ca="1">IFERROR(__xludf.DUMMYFUNCTION("""COMPUTED_VALUE"""),"ema10260evd3021")</f>
        <v>ema10260evd3021</v>
      </c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 ht="15.75" customHeight="1" x14ac:dyDescent="0.2">
      <c r="A401" s="8">
        <f ca="1">IFERROR(__xludf.DUMMYFUNCTION("""COMPUTED_VALUE"""),45282.477614074)</f>
        <v>45282.477614074</v>
      </c>
      <c r="B401" s="1" t="str">
        <f ca="1">IFERROR(__xludf.DUMMYFUNCTION("""COMPUTED_VALUE"""),"CEC")</f>
        <v>CEC</v>
      </c>
      <c r="C401" s="1" t="str">
        <f ca="1">IFERROR(__xludf.DUMMYFUNCTION("""COMPUTED_VALUE"""),"ej827133869th")</f>
        <v>ej827133869th</v>
      </c>
      <c r="D401" s="1" t="str">
        <f ca="1">IFERROR(__xludf.DUMMYFUNCTION("""COMPUTED_VALUE"""),"จิดาภา")</f>
        <v>จิดาภา</v>
      </c>
      <c r="E401" s="1" t="str">
        <f ca="1">IFERROR(__xludf.DUMMYFUNCTION("""COMPUTED_VALUE"""),"095-4914796")</f>
        <v>095-4914796</v>
      </c>
      <c r="F401" s="1" t="str">
        <f ca="1">IFERROR(__xludf.DUMMYFUNCTION("""COMPUTED_VALUE"""),"48/1 ซ.อุดมสุข30 แยก2-1 ซ.103")</f>
        <v>48/1 ซ.อุดมสุข30 แยก2-1 ซ.103</v>
      </c>
      <c r="G401" s="1" t="str">
        <f ca="1">IFERROR(__xludf.DUMMYFUNCTION("""COMPUTED_VALUE"""),"นำจ่ายใหม่")</f>
        <v>นำจ่ายใหม่</v>
      </c>
      <c r="H401" s="1" t="str">
        <f ca="1">IFERROR(__xludf.DUMMYFUNCTION("""COMPUTED_VALUE"""),"ออกใบแจ้ง")</f>
        <v>ออกใบแจ้ง</v>
      </c>
      <c r="I401" s="1"/>
      <c r="J401" s="1" t="str">
        <f ca="1">IFERROR(__xludf.DUMMYFUNCTION("""COMPUTED_VALUE"""),"DB2")</f>
        <v>DB2</v>
      </c>
      <c r="K401" s="1" t="str">
        <f ca="1">IFERROR(__xludf.DUMMYFUNCTION("""COMPUTED_VALUE"""),"ema10260evd2016")</f>
        <v>ema10260evd2016</v>
      </c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 ht="15.75" customHeight="1" x14ac:dyDescent="0.2">
      <c r="A402" s="8">
        <f ca="1">IFERROR(__xludf.DUMMYFUNCTION("""COMPUTED_VALUE"""),45282.4790894444)</f>
        <v>45282.479089444401</v>
      </c>
      <c r="B402" s="1" t="str">
        <f ca="1">IFERROR(__xludf.DUMMYFUNCTION("""COMPUTED_VALUE"""),"CEC")</f>
        <v>CEC</v>
      </c>
      <c r="C402" s="1" t="str">
        <f ca="1">IFERROR(__xludf.DUMMYFUNCTION("""COMPUTED_VALUE"""),"re964093282th")</f>
        <v>re964093282th</v>
      </c>
      <c r="D402" s="1" t="str">
        <f ca="1">IFERROR(__xludf.DUMMYFUNCTION("""COMPUTED_VALUE"""),"ศรายุทธ")</f>
        <v>ศรายุทธ</v>
      </c>
      <c r="E402" s="1" t="str">
        <f ca="1">IFERROR(__xludf.DUMMYFUNCTION("""COMPUTED_VALUE"""),"098-4295691")</f>
        <v>098-4295691</v>
      </c>
      <c r="F402" s="1" t="str">
        <f ca="1">IFERROR(__xludf.DUMMYFUNCTION("""COMPUTED_VALUE"""),"207/18 ซ.อุดมสุข30 สุขุมวิท103")</f>
        <v>207/18 ซ.อุดมสุข30 สุขุมวิท103</v>
      </c>
      <c r="G402" s="1" t="str">
        <f ca="1">IFERROR(__xludf.DUMMYFUNCTION("""COMPUTED_VALUE"""),"นำจ่ายใหม่")</f>
        <v>นำจ่ายใหม่</v>
      </c>
      <c r="H402" s="1" t="str">
        <f ca="1">IFERROR(__xludf.DUMMYFUNCTION("""COMPUTED_VALUE"""),"ออกใบแจ้ง จ่าย วันเสาร์23/11/66")</f>
        <v>ออกใบแจ้ง จ่าย วันเสาร์23/11/66</v>
      </c>
      <c r="I402" s="1" t="str">
        <f ca="1">IFERROR(__xludf.DUMMYFUNCTION("""COMPUTED_VALUE"""),"-")</f>
        <v>-</v>
      </c>
      <c r="J402" s="1" t="str">
        <f ca="1">IFERROR(__xludf.DUMMYFUNCTION("""COMPUTED_VALUE"""),"DB2")</f>
        <v>DB2</v>
      </c>
      <c r="K402" s="1" t="str">
        <f ca="1">IFERROR(__xludf.DUMMYFUNCTION("""COMPUTED_VALUE"""),"ems10260evd2013")</f>
        <v>ems10260evd2013</v>
      </c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 ht="15.75" customHeight="1" x14ac:dyDescent="0.2">
      <c r="A403" s="8">
        <f ca="1">IFERROR(__xludf.DUMMYFUNCTION("""COMPUTED_VALUE"""),45282.4824625462)</f>
        <v>45282.482462546199</v>
      </c>
      <c r="B403" s="1" t="str">
        <f ca="1">IFERROR(__xludf.DUMMYFUNCTION("""COMPUTED_VALUE"""),"CEC")</f>
        <v>CEC</v>
      </c>
      <c r="C403" s="1" t="str">
        <f ca="1">IFERROR(__xludf.DUMMYFUNCTION("""COMPUTED_VALUE"""),"em091624051th")</f>
        <v>em091624051th</v>
      </c>
      <c r="D403" s="1" t="str">
        <f ca="1">IFERROR(__xludf.DUMMYFUNCTION("""COMPUTED_VALUE"""),"ชลิดา")</f>
        <v>ชลิดา</v>
      </c>
      <c r="E403" s="1" t="str">
        <f ca="1">IFERROR(__xludf.DUMMYFUNCTION("""COMPUTED_VALUE"""),"087-3162175")</f>
        <v>087-3162175</v>
      </c>
      <c r="F403" s="1" t="str">
        <f ca="1">IFERROR(__xludf.DUMMYFUNCTION("""COMPUTED_VALUE"""),"846/6 บ.โอเซียนสกายเน็ต้วิร์ค โครงการซัมเมอร์ลาซาน")</f>
        <v>846/6 บ.โอเซียนสกายเน็ต้วิร์ค โครงการซัมเมอร์ลาซาน</v>
      </c>
      <c r="G403" s="1" t="str">
        <f ca="1">IFERROR(__xludf.DUMMYFUNCTION("""COMPUTED_VALUE"""),"ตรวจสอบการนำจ่าย")</f>
        <v>ตรวจสอบการนำจ่าย</v>
      </c>
      <c r="H403" s="1" t="str">
        <f ca="1">IFERROR(__xludf.DUMMYFUNCTION("""COMPUTED_VALUE"""),"-")</f>
        <v>-</v>
      </c>
      <c r="I403" s="1" t="str">
        <f ca="1">IFERROR(__xludf.DUMMYFUNCTION("""COMPUTED_VALUE"""),"-")</f>
        <v>-</v>
      </c>
      <c r="J403" s="1" t="str">
        <f ca="1">IFERROR(__xludf.DUMMYFUNCTION("""COMPUTED_VALUE"""),"DB1")</f>
        <v>DB1</v>
      </c>
      <c r="K403" s="1" t="str">
        <f ca="1">IFERROR(__xludf.DUMMYFUNCTION("""COMPUTED_VALUE"""),"ems10260evd1017")</f>
        <v>ems10260evd1017</v>
      </c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 ht="15.75" customHeight="1" x14ac:dyDescent="0.2">
      <c r="A404" s="8">
        <f ca="1">IFERROR(__xludf.DUMMYFUNCTION("""COMPUTED_VALUE"""),45282.4843693865)</f>
        <v>45282.484369386497</v>
      </c>
      <c r="B404" s="1" t="str">
        <f ca="1">IFERROR(__xludf.DUMMYFUNCTION("""COMPUTED_VALUE"""),"CEC")</f>
        <v>CEC</v>
      </c>
      <c r="C404" s="1" t="str">
        <f ca="1">IFERROR(__xludf.DUMMYFUNCTION("""COMPUTED_VALUE"""),"re963964116th")</f>
        <v>re963964116th</v>
      </c>
      <c r="D404" s="1" t="str">
        <f ca="1">IFERROR(__xludf.DUMMYFUNCTION("""COMPUTED_VALUE"""),"ศิริวรรณ")</f>
        <v>ศิริวรรณ</v>
      </c>
      <c r="E404" s="1" t="str">
        <f ca="1">IFERROR(__xludf.DUMMYFUNCTION("""COMPUTED_VALUE"""),"089-2312468")</f>
        <v>089-2312468</v>
      </c>
      <c r="F404" s="1" t="str">
        <f ca="1">IFERROR(__xludf.DUMMYFUNCTION("""COMPUTED_VALUE"""),"117 บ้านพักแฟลกระทรวงกลาโหม")</f>
        <v>117 บ้านพักแฟลกระทรวงกลาโหม</v>
      </c>
      <c r="G404" s="1" t="str">
        <f ca="1">IFERROR(__xludf.DUMMYFUNCTION("""COMPUTED_VALUE"""),"นำจ่ายใหม่")</f>
        <v>นำจ่ายใหม่</v>
      </c>
      <c r="H404" s="1" t="str">
        <f ca="1">IFERROR(__xludf.DUMMYFUNCTION("""COMPUTED_VALUE"""),"ออกใบแจ้ง")</f>
        <v>ออกใบแจ้ง</v>
      </c>
      <c r="I404" s="1" t="str">
        <f ca="1">IFERROR(__xludf.DUMMYFUNCTION("""COMPUTED_VALUE"""),"-")</f>
        <v>-</v>
      </c>
      <c r="J404" s="1" t="str">
        <f ca="1">IFERROR(__xludf.DUMMYFUNCTION("""COMPUTED_VALUE"""),"DB4")</f>
        <v>DB4</v>
      </c>
      <c r="K404" s="1" t="str">
        <f ca="1">IFERROR(__xludf.DUMMYFUNCTION("""COMPUTED_VALUE"""),"ems10260evd4001")</f>
        <v>ems10260evd4001</v>
      </c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 ht="15.75" customHeight="1" x14ac:dyDescent="0.2">
      <c r="A405" s="8">
        <f ca="1">IFERROR(__xludf.DUMMYFUNCTION("""COMPUTED_VALUE"""),45282.5004270486)</f>
        <v>45282.500427048602</v>
      </c>
      <c r="B405" s="1" t="str">
        <f ca="1">IFERROR(__xludf.DUMMYFUNCTION("""COMPUTED_VALUE"""),"CEC")</f>
        <v>CEC</v>
      </c>
      <c r="C405" s="1" t="str">
        <f ca="1">IFERROR(__xludf.DUMMYFUNCTION("""COMPUTED_VALUE"""),"ea905426713th")</f>
        <v>ea905426713th</v>
      </c>
      <c r="D405" s="1" t="str">
        <f ca="1">IFERROR(__xludf.DUMMYFUNCTION("""COMPUTED_VALUE"""),"เสาวนีย์")</f>
        <v>เสาวนีย์</v>
      </c>
      <c r="E405" s="1" t="str">
        <f ca="1">IFERROR(__xludf.DUMMYFUNCTION("""COMPUTED_VALUE"""),"081-8434916")</f>
        <v>081-8434916</v>
      </c>
      <c r="F405" s="1" t="str">
        <f ca="1">IFERROR(__xludf.DUMMYFUNCTION("""COMPUTED_VALUE"""),"555/144 ตึก จส.100 อุดมสุข 29")</f>
        <v>555/144 ตึก จส.100 อุดมสุข 29</v>
      </c>
      <c r="G405" s="1" t="str">
        <f ca="1">IFERROR(__xludf.DUMMYFUNCTION("""COMPUTED_VALUE"""),"นำจ่ายใหม่")</f>
        <v>นำจ่ายใหม่</v>
      </c>
      <c r="H405" s="1" t="str">
        <f ca="1">IFERROR(__xludf.DUMMYFUNCTION("""COMPUTED_VALUE"""),"COD.690 บาท")</f>
        <v>COD.690 บาท</v>
      </c>
      <c r="I405" s="1" t="str">
        <f ca="1">IFERROR(__xludf.DUMMYFUNCTION("""COMPUTED_VALUE"""),"-")</f>
        <v>-</v>
      </c>
      <c r="J405" s="1" t="str">
        <f ca="1">IFERROR(__xludf.DUMMYFUNCTION("""COMPUTED_VALUE"""),"DB3")</f>
        <v>DB3</v>
      </c>
      <c r="K405" s="1" t="str">
        <f ca="1">IFERROR(__xludf.DUMMYFUNCTION("""COMPUTED_VALUE"""),"ems10260evd3036")</f>
        <v>ems10260evd3036</v>
      </c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 ht="15.75" customHeight="1" x14ac:dyDescent="0.2">
      <c r="A406" s="8">
        <f ca="1">IFERROR(__xludf.DUMMYFUNCTION("""COMPUTED_VALUE"""),45282.5019227083)</f>
        <v>45282.501922708303</v>
      </c>
      <c r="B406" s="1" t="str">
        <f ca="1">IFERROR(__xludf.DUMMYFUNCTION("""COMPUTED_VALUE"""),"CEC")</f>
        <v>CEC</v>
      </c>
      <c r="C406" s="1" t="str">
        <f ca="1">IFERROR(__xludf.DUMMYFUNCTION("""COMPUTED_VALUE"""),"en510998219th")</f>
        <v>en510998219th</v>
      </c>
      <c r="D406" s="1" t="str">
        <f ca="1">IFERROR(__xludf.DUMMYFUNCTION("""COMPUTED_VALUE"""),"ถาปณี")</f>
        <v>ถาปณี</v>
      </c>
      <c r="E406" s="1" t="str">
        <f ca="1">IFERROR(__xludf.DUMMYFUNCTION("""COMPUTED_VALUE"""),"061-4972516")</f>
        <v>061-4972516</v>
      </c>
      <c r="F406" s="1" t="str">
        <f ca="1">IFERROR(__xludf.DUMMYFUNCTION("""COMPUTED_VALUE"""),"1002/45 นิรันดร์เรสซิเด้นส์9 ตึกบี อุดมสุข56")</f>
        <v>1002/45 นิรันดร์เรสซิเด้นส์9 ตึกบี อุดมสุข56</v>
      </c>
      <c r="G406" s="1" t="str">
        <f ca="1">IFERROR(__xludf.DUMMYFUNCTION("""COMPUTED_VALUE"""),"นำจ่ายใหม่")</f>
        <v>นำจ่ายใหม่</v>
      </c>
      <c r="H406" s="1" t="str">
        <f ca="1">IFERROR(__xludf.DUMMYFUNCTION("""COMPUTED_VALUE"""),"COD.400 บาท")</f>
        <v>COD.400 บาท</v>
      </c>
      <c r="I406" s="1" t="str">
        <f ca="1">IFERROR(__xludf.DUMMYFUNCTION("""COMPUTED_VALUE"""),"-")</f>
        <v>-</v>
      </c>
      <c r="J406" s="1" t="str">
        <f ca="1">IFERROR(__xludf.DUMMYFUNCTION("""COMPUTED_VALUE"""),"DB2")</f>
        <v>DB2</v>
      </c>
      <c r="K406" s="1" t="str">
        <f ca="1">IFERROR(__xludf.DUMMYFUNCTION("""COMPUTED_VALUE"""),"ems10260evd2013")</f>
        <v>ems10260evd2013</v>
      </c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 ht="15.75" customHeight="1" x14ac:dyDescent="0.2">
      <c r="A407" s="8">
        <f ca="1">IFERROR(__xludf.DUMMYFUNCTION("""COMPUTED_VALUE"""),45282.5767225347)</f>
        <v>45282.576722534701</v>
      </c>
      <c r="B407" s="1" t="str">
        <f ca="1">IFERROR(__xludf.DUMMYFUNCTION("""COMPUTED_VALUE"""),"CEC")</f>
        <v>CEC</v>
      </c>
      <c r="C407" s="1" t="str">
        <f ca="1">IFERROR(__xludf.DUMMYFUNCTION("""COMPUTED_VALUE"""),"ej309524860th")</f>
        <v>ej309524860th</v>
      </c>
      <c r="D407" s="1" t="str">
        <f ca="1">IFERROR(__xludf.DUMMYFUNCTION("""COMPUTED_VALUE"""),"กรกช")</f>
        <v>กรกช</v>
      </c>
      <c r="E407" s="1" t="str">
        <f ca="1">IFERROR(__xludf.DUMMYFUNCTION("""COMPUTED_VALUE"""),"095-4639862")</f>
        <v>095-4639862</v>
      </c>
      <c r="F407" s="1" t="str">
        <f ca="1">IFERROR(__xludf.DUMMYFUNCTION("""COMPUTED_VALUE"""),"4379/82 คอนโดอดิโอโมบิอีตส์พร้อยท์ สุขุมวิท")</f>
        <v>4379/82 คอนโดอดิโอโมบิอีตส์พร้อยท์ สุขุมวิท</v>
      </c>
      <c r="G407" s="1" t="str">
        <f ca="1">IFERROR(__xludf.DUMMYFUNCTION("""COMPUTED_VALUE"""),"ตรวจสอบการนำจ่าย")</f>
        <v>ตรวจสอบการนำจ่าย</v>
      </c>
      <c r="H407" s="1" t="str">
        <f ca="1">IFERROR(__xludf.DUMMYFUNCTION("""COMPUTED_VALUE"""),"-")</f>
        <v>-</v>
      </c>
      <c r="I407" s="1" t="str">
        <f ca="1">IFERROR(__xludf.DUMMYFUNCTION("""COMPUTED_VALUE"""),"-")</f>
        <v>-</v>
      </c>
      <c r="J407" s="1" t="str">
        <f ca="1">IFERROR(__xludf.DUMMYFUNCTION("""COMPUTED_VALUE"""),"นำจ่ายรถยนต์")</f>
        <v>นำจ่ายรถยนต์</v>
      </c>
      <c r="K407" s="1" t="str">
        <f ca="1">IFERROR(__xludf.DUMMYFUNCTION("""COMPUTED_VALUE"""),"car10260evd5005")</f>
        <v>car10260evd5005</v>
      </c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 ht="15.75" customHeight="1" x14ac:dyDescent="0.2">
      <c r="A408" s="8">
        <f ca="1">IFERROR(__xludf.DUMMYFUNCTION("""COMPUTED_VALUE"""),45282.5779016782)</f>
        <v>45282.577901678203</v>
      </c>
      <c r="B408" s="1" t="str">
        <f ca="1">IFERROR(__xludf.DUMMYFUNCTION("""COMPUTED_VALUE"""),"CEC")</f>
        <v>CEC</v>
      </c>
      <c r="C408" s="1" t="str">
        <f ca="1">IFERROR(__xludf.DUMMYFUNCTION("""COMPUTED_VALUE"""),"ed987475404th")</f>
        <v>ed987475404th</v>
      </c>
      <c r="D408" s="1" t="str">
        <f ca="1">IFERROR(__xludf.DUMMYFUNCTION("""COMPUTED_VALUE"""),"พรไพลิน")</f>
        <v>พรไพลิน</v>
      </c>
      <c r="E408" s="1" t="str">
        <f ca="1">IFERROR(__xludf.DUMMYFUNCTION("""COMPUTED_VALUE"""),"065-6801087")</f>
        <v>065-6801087</v>
      </c>
      <c r="F408" s="1" t="str">
        <f ca="1">IFERROR(__xludf.DUMMYFUNCTION("""COMPUTED_VALUE"""),"22/1-2 ซอย.สุขุมวิท 70 บางนา")</f>
        <v>22/1-2 ซอย.สุขุมวิท 70 บางนา</v>
      </c>
      <c r="G408" s="1" t="str">
        <f ca="1">IFERROR(__xludf.DUMMYFUNCTION("""COMPUTED_VALUE"""),"นำจ่ายใหม่")</f>
        <v>นำจ่ายใหม่</v>
      </c>
      <c r="H408" s="1" t="str">
        <f ca="1">IFERROR(__xludf.DUMMYFUNCTION("""COMPUTED_VALUE"""),"ออกใบแจ้ง")</f>
        <v>ออกใบแจ้ง</v>
      </c>
      <c r="I408" s="1" t="str">
        <f ca="1">IFERROR(__xludf.DUMMYFUNCTION("""COMPUTED_VALUE"""),"-")</f>
        <v>-</v>
      </c>
      <c r="J408" s="1" t="str">
        <f ca="1">IFERROR(__xludf.DUMMYFUNCTION("""COMPUTED_VALUE"""),"นำจ่ายรถยนต์")</f>
        <v>นำจ่ายรถยนต์</v>
      </c>
      <c r="K408" s="1" t="str">
        <f ca="1">IFERROR(__xludf.DUMMYFUNCTION("""COMPUTED_VALUE"""),"car10260evd5004")</f>
        <v>car10260evd5004</v>
      </c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 ht="15.75" customHeight="1" x14ac:dyDescent="0.2">
      <c r="A409" s="8">
        <f ca="1">IFERROR(__xludf.DUMMYFUNCTION("""COMPUTED_VALUE"""),45282.5793076967)</f>
        <v>45282.579307696702</v>
      </c>
      <c r="B409" s="1" t="str">
        <f ca="1">IFERROR(__xludf.DUMMYFUNCTION("""COMPUTED_VALUE"""),"CEC")</f>
        <v>CEC</v>
      </c>
      <c r="C409" s="1" t="str">
        <f ca="1">IFERROR(__xludf.DUMMYFUNCTION("""COMPUTED_VALUE"""),"em817185155th")</f>
        <v>em817185155th</v>
      </c>
      <c r="D409" s="1" t="str">
        <f ca="1">IFERROR(__xludf.DUMMYFUNCTION("""COMPUTED_VALUE"""),"สมบูรณ์")</f>
        <v>สมบูรณ์</v>
      </c>
      <c r="E409" s="1" t="str">
        <f ca="1">IFERROR(__xludf.DUMMYFUNCTION("""COMPUTED_VALUE"""),"0949529828")</f>
        <v>0949529828</v>
      </c>
      <c r="F409" s="1" t="str">
        <f ca="1">IFERROR(__xludf.DUMMYFUNCTION("""COMPUTED_VALUE"""),"34/6 วชิรธรรมสาธิต 8")</f>
        <v>34/6 วชิรธรรมสาธิต 8</v>
      </c>
      <c r="G409" s="1" t="str">
        <f ca="1">IFERROR(__xludf.DUMMYFUNCTION("""COMPUTED_VALUE"""),"นำจ่ายใหม่")</f>
        <v>นำจ่ายใหม่</v>
      </c>
      <c r="H409" s="1" t="str">
        <f ca="1">IFERROR(__xludf.DUMMYFUNCTION("""COMPUTED_VALUE"""),"บ้านปิด")</f>
        <v>บ้านปิด</v>
      </c>
      <c r="I409" s="1" t="str">
        <f ca="1">IFERROR(__xludf.DUMMYFUNCTION("""COMPUTED_VALUE"""),"แจ้งเจ้าหน้าที่นำจ่ายแล้ว")</f>
        <v>แจ้งเจ้าหน้าที่นำจ่ายแล้ว</v>
      </c>
      <c r="J409" s="1" t="str">
        <f ca="1">IFERROR(__xludf.DUMMYFUNCTION("""COMPUTED_VALUE"""),"DB2")</f>
        <v>DB2</v>
      </c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 ht="15.75" customHeight="1" x14ac:dyDescent="0.2">
      <c r="A410" s="8">
        <f ca="1">IFERROR(__xludf.DUMMYFUNCTION("""COMPUTED_VALUE"""),45282.5806923379)</f>
        <v>45282.580692337899</v>
      </c>
      <c r="B410" s="1" t="str">
        <f ca="1">IFERROR(__xludf.DUMMYFUNCTION("""COMPUTED_VALUE"""),"CEC")</f>
        <v>CEC</v>
      </c>
      <c r="C410" s="1" t="str">
        <f ca="1">IFERROR(__xludf.DUMMYFUNCTION("""COMPUTED_VALUE"""),"eb971013347th")</f>
        <v>eb971013347th</v>
      </c>
      <c r="D410" s="1" t="str">
        <f ca="1">IFERROR(__xludf.DUMMYFUNCTION("""COMPUTED_VALUE"""),"สุพัตรา")</f>
        <v>สุพัตรา</v>
      </c>
      <c r="E410" s="1" t="str">
        <f ca="1">IFERROR(__xludf.DUMMYFUNCTION("""COMPUTED_VALUE"""),"0955736583")</f>
        <v>0955736583</v>
      </c>
      <c r="F410" s="1" t="str">
        <f ca="1">IFERROR(__xludf.DUMMYFUNCTION("""COMPUTED_VALUE"""),"765/4  อุดมสุ้ข 103 บางจาก")</f>
        <v>765/4  อุดมสุ้ข 103 บางจาก</v>
      </c>
      <c r="G410" s="1" t="str">
        <f ca="1">IFERROR(__xludf.DUMMYFUNCTION("""COMPUTED_VALUE"""),"ตรวจสอบการนำจ่าย")</f>
        <v>ตรวจสอบการนำจ่าย</v>
      </c>
      <c r="H410" s="1" t="str">
        <f ca="1">IFERROR(__xludf.DUMMYFUNCTION("""COMPUTED_VALUE"""),"นำจ่ายวันนี้")</f>
        <v>นำจ่ายวันนี้</v>
      </c>
      <c r="I410" s="1" t="str">
        <f ca="1">IFERROR(__xludf.DUMMYFUNCTION("""COMPUTED_VALUE"""),"แจ้งเจ้าหน้าที่นำจ่ายแล้ว")</f>
        <v>แจ้งเจ้าหน้าที่นำจ่ายแล้ว</v>
      </c>
      <c r="J410" s="1" t="str">
        <f ca="1">IFERROR(__xludf.DUMMYFUNCTION("""COMPUTED_VALUE"""),"DB2")</f>
        <v>DB2</v>
      </c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 ht="15.75" customHeight="1" x14ac:dyDescent="0.2">
      <c r="A411" s="8">
        <f ca="1">IFERROR(__xludf.DUMMYFUNCTION("""COMPUTED_VALUE"""),45282.625215405)</f>
        <v>45282.625215405002</v>
      </c>
      <c r="B411" s="1" t="str">
        <f ca="1">IFERROR(__xludf.DUMMYFUNCTION("""COMPUTED_VALUE"""),"CEC")</f>
        <v>CEC</v>
      </c>
      <c r="C411" s="1" t="str">
        <f ca="1">IFERROR(__xludf.DUMMYFUNCTION("""COMPUTED_VALUE"""),"ed061223134th")</f>
        <v>ed061223134th</v>
      </c>
      <c r="D411" s="1" t="str">
        <f ca="1">IFERROR(__xludf.DUMMYFUNCTION("""COMPUTED_VALUE"""),"จุฑามาศ")</f>
        <v>จุฑามาศ</v>
      </c>
      <c r="E411" s="1" t="str">
        <f ca="1">IFERROR(__xludf.DUMMYFUNCTION("""COMPUTED_VALUE"""),"064-0186173")</f>
        <v>064-0186173</v>
      </c>
      <c r="F411" s="1" t="str">
        <f ca="1">IFERROR(__xludf.DUMMYFUNCTION("""COMPUTED_VALUE"""),"940/349-350 อพาร้ทเมนท์รุ่งเรือง อุดมสุข24")</f>
        <v>940/349-350 อพาร้ทเมนท์รุ่งเรือง อุดมสุข24</v>
      </c>
      <c r="G411" s="1" t="str">
        <f ca="1">IFERROR(__xludf.DUMMYFUNCTION("""COMPUTED_VALUE"""),"ตรวจสอบการนำจ่าย")</f>
        <v>ตรวจสอบการนำจ่าย</v>
      </c>
      <c r="H411" s="1" t="str">
        <f ca="1">IFERROR(__xludf.DUMMYFUNCTION("""COMPUTED_VALUE"""),"-")</f>
        <v>-</v>
      </c>
      <c r="I411" s="1" t="str">
        <f ca="1">IFERROR(__xludf.DUMMYFUNCTION("""COMPUTED_VALUE"""),"-")</f>
        <v>-</v>
      </c>
      <c r="J411" s="1" t="str">
        <f ca="1">IFERROR(__xludf.DUMMYFUNCTION("""COMPUTED_VALUE"""),"DB2")</f>
        <v>DB2</v>
      </c>
      <c r="K411" s="1" t="str">
        <f ca="1">IFERROR(__xludf.DUMMYFUNCTION("""COMPUTED_VALUE"""),"ems10260evd2018")</f>
        <v>ems10260evd2018</v>
      </c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 ht="15.75" customHeight="1" x14ac:dyDescent="0.2">
      <c r="A412" s="8">
        <f ca="1">IFERROR(__xludf.DUMMYFUNCTION("""COMPUTED_VALUE"""),45282.6676991666)</f>
        <v>45282.667699166603</v>
      </c>
      <c r="B412" s="1" t="str">
        <f ca="1">IFERROR(__xludf.DUMMYFUNCTION("""COMPUTED_VALUE"""),"CEC")</f>
        <v>CEC</v>
      </c>
      <c r="C412" s="1" t="str">
        <f ca="1">IFERROR(__xludf.DUMMYFUNCTION("""COMPUTED_VALUE"""),"eb957729771th")</f>
        <v>eb957729771th</v>
      </c>
      <c r="D412" s="1" t="str">
        <f ca="1">IFERROR(__xludf.DUMMYFUNCTION("""COMPUTED_VALUE"""),"อดิสรณ์")</f>
        <v>อดิสรณ์</v>
      </c>
      <c r="E412" s="1" t="str">
        <f ca="1">IFERROR(__xludf.DUMMYFUNCTION("""COMPUTED_VALUE"""),"092-2255596")</f>
        <v>092-2255596</v>
      </c>
      <c r="F412" s="1" t="str">
        <f ca="1">IFERROR(__xludf.DUMMYFUNCTION("""COMPUTED_VALUE"""),"753 บ.โตโยต้า อไลน์ ฯ บางนา ตราด")</f>
        <v>753 บ.โตโยต้า อไลน์ ฯ บางนา ตราด</v>
      </c>
      <c r="G412" s="1" t="str">
        <f ca="1">IFERROR(__xludf.DUMMYFUNCTION("""COMPUTED_VALUE"""),"ตรวจสอบการนำจ่าย")</f>
        <v>ตรวจสอบการนำจ่าย</v>
      </c>
      <c r="H412" s="1" t="str">
        <f ca="1">IFERROR(__xludf.DUMMYFUNCTION("""COMPUTED_VALUE"""),"-")</f>
        <v>-</v>
      </c>
      <c r="I412" s="1" t="str">
        <f ca="1">IFERROR(__xludf.DUMMYFUNCTION("""COMPUTED_VALUE"""),"-")</f>
        <v>-</v>
      </c>
      <c r="J412" s="1" t="str">
        <f ca="1">IFERROR(__xludf.DUMMYFUNCTION("""COMPUTED_VALUE"""),"DB2")</f>
        <v>DB2</v>
      </c>
      <c r="K412" s="1" t="str">
        <f ca="1">IFERROR(__xludf.DUMMYFUNCTION("""COMPUTED_VALUE"""),"car10260evd2010")</f>
        <v>car10260evd2010</v>
      </c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 ht="15.75" customHeight="1" x14ac:dyDescent="0.2">
      <c r="A413" s="8">
        <f ca="1">IFERROR(__xludf.DUMMYFUNCTION("""COMPUTED_VALUE"""),45282.675771412)</f>
        <v>45282.675771412003</v>
      </c>
      <c r="B413" s="1" t="str">
        <f ca="1">IFERROR(__xludf.DUMMYFUNCTION("""COMPUTED_VALUE"""),"On Queue")</f>
        <v>On Queue</v>
      </c>
      <c r="C413" s="1" t="str">
        <f ca="1">IFERROR(__xludf.DUMMYFUNCTION("""COMPUTED_VALUE"""),"el564982906jp")</f>
        <v>el564982906jp</v>
      </c>
      <c r="D413" s="1" t="str">
        <f ca="1">IFERROR(__xludf.DUMMYFUNCTION("""COMPUTED_VALUE"""),"nawarat c.")</f>
        <v>nawarat c.</v>
      </c>
      <c r="E413" s="1" t="str">
        <f ca="1">IFERROR(__xludf.DUMMYFUNCTION("""COMPUTED_VALUE"""),"088-9409544")</f>
        <v>088-9409544</v>
      </c>
      <c r="F413" s="1" t="str">
        <f ca="1">IFERROR(__xludf.DUMMYFUNCTION("""COMPUTED_VALUE"""),"222 ณ.บ้านอุดมสุข ซ.อุดมสุข16 ซ.103")</f>
        <v>222 ณ.บ้านอุดมสุข ซ.อุดมสุข16 ซ.103</v>
      </c>
      <c r="G413" s="1" t="str">
        <f ca="1">IFERROR(__xludf.DUMMYFUNCTION("""COMPUTED_VALUE"""),"ตรวจสอบการนำจ่าย")</f>
        <v>ตรวจสอบการนำจ่าย</v>
      </c>
      <c r="H413" s="1" t="str">
        <f ca="1">IFERROR(__xludf.DUMMYFUNCTION("""COMPUTED_VALUE"""),"-")</f>
        <v>-</v>
      </c>
      <c r="I413" s="1" t="str">
        <f ca="1">IFERROR(__xludf.DUMMYFUNCTION("""COMPUTED_VALUE"""),"-")</f>
        <v>-</v>
      </c>
      <c r="J413" s="1" t="str">
        <f ca="1">IFERROR(__xludf.DUMMYFUNCTION("""COMPUTED_VALUE"""),"นำจ่ายรถยนต์")</f>
        <v>นำจ่ายรถยนต์</v>
      </c>
      <c r="K413" s="1" t="str">
        <f ca="1">IFERROR(__xludf.DUMMYFUNCTION("""COMPUTED_VALUE"""),"car10260evd5010")</f>
        <v>car10260evd5010</v>
      </c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 ht="15.75" customHeight="1" x14ac:dyDescent="0.2">
      <c r="A414" s="8">
        <f ca="1">IFERROR(__xludf.DUMMYFUNCTION("""COMPUTED_VALUE"""),45285.3766274305)</f>
        <v>45285.376627430502</v>
      </c>
      <c r="B414" s="1" t="str">
        <f ca="1">IFERROR(__xludf.DUMMYFUNCTION("""COMPUTED_VALUE"""),"CEC")</f>
        <v>CEC</v>
      </c>
      <c r="C414" s="1" t="str">
        <f ca="1">IFERROR(__xludf.DUMMYFUNCTION("""COMPUTED_VALUE"""),"ed144305162th")</f>
        <v>ed144305162th</v>
      </c>
      <c r="D414" s="1" t="str">
        <f ca="1">IFERROR(__xludf.DUMMYFUNCTION("""COMPUTED_VALUE"""),"อธิชัย")</f>
        <v>อธิชัย</v>
      </c>
      <c r="E414" s="1" t="str">
        <f ca="1">IFERROR(__xludf.DUMMYFUNCTION("""COMPUTED_VALUE"""),"0819882573")</f>
        <v>0819882573</v>
      </c>
      <c r="F414" s="1" t="str">
        <f ca="1">IFERROR(__xludf.DUMMYFUNCTION("""COMPUTED_VALUE"""),"1246/1 ซ101/1")</f>
        <v>1246/1 ซ101/1</v>
      </c>
      <c r="G414" s="1" t="str">
        <f ca="1">IFERROR(__xludf.DUMMYFUNCTION("""COMPUTED_VALUE"""),"นำจ่ายใหม่")</f>
        <v>นำจ่ายใหม่</v>
      </c>
      <c r="H414" s="1" t="str">
        <f ca="1">IFERROR(__xludf.DUMMYFUNCTION("""COMPUTED_VALUE"""),"บ้านปิด")</f>
        <v>บ้านปิด</v>
      </c>
      <c r="I414" s="1" t="str">
        <f ca="1">IFERROR(__xludf.DUMMYFUNCTION("""COMPUTED_VALUE"""),"แจ้งเจ้าหน้าที่นำจ่ายแล้ว")</f>
        <v>แจ้งเจ้าหน้าที่นำจ่ายแล้ว</v>
      </c>
      <c r="J414" s="1" t="str">
        <f ca="1">IFERROR(__xludf.DUMMYFUNCTION("""COMPUTED_VALUE"""),"นำจ่ายรถยนต์")</f>
        <v>นำจ่ายรถยนต์</v>
      </c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 ht="15.75" customHeight="1" x14ac:dyDescent="0.2">
      <c r="A415" s="8">
        <f ca="1">IFERROR(__xludf.DUMMYFUNCTION("""COMPUTED_VALUE"""),45285.4230377083)</f>
        <v>45285.4230377083</v>
      </c>
      <c r="B415" s="1" t="str">
        <f ca="1">IFERROR(__xludf.DUMMYFUNCTION("""COMPUTED_VALUE"""),"CEC")</f>
        <v>CEC</v>
      </c>
      <c r="C415" s="1" t="str">
        <f ca="1">IFERROR(__xludf.DUMMYFUNCTION("""COMPUTED_VALUE"""),"eb532265351th")</f>
        <v>eb532265351th</v>
      </c>
      <c r="D415" s="1" t="str">
        <f ca="1">IFERROR(__xludf.DUMMYFUNCTION("""COMPUTED_VALUE"""),"-")</f>
        <v>-</v>
      </c>
      <c r="E415" s="1" t="str">
        <f ca="1">IFERROR(__xludf.DUMMYFUNCTION("""COMPUTED_VALUE"""),"092-2820075")</f>
        <v>092-2820075</v>
      </c>
      <c r="F415" s="1" t="str">
        <f ca="1">IFERROR(__xludf.DUMMYFUNCTION("""COMPUTED_VALUE"""),"บ.รีโว ฯ 204/13-17 ซ.อ่ออ่นุช1 สุขุมวิท77")</f>
        <v>บ.รีโว ฯ 204/13-17 ซ.อ่ออ่นุช1 สุขุมวิท77</v>
      </c>
      <c r="G415" s="1" t="str">
        <f ca="1">IFERROR(__xludf.DUMMYFUNCTION("""COMPUTED_VALUE"""),"ตรวจสอบการนำจ่าย")</f>
        <v>ตรวจสอบการนำจ่าย</v>
      </c>
      <c r="H415" s="1" t="str">
        <f ca="1">IFERROR(__xludf.DUMMYFUNCTION("""COMPUTED_VALUE"""),"-")</f>
        <v>-</v>
      </c>
      <c r="I415" s="1" t="str">
        <f ca="1">IFERROR(__xludf.DUMMYFUNCTION("""COMPUTED_VALUE"""),"-")</f>
        <v>-</v>
      </c>
      <c r="J415" s="1" t="str">
        <f ca="1">IFERROR(__xludf.DUMMYFUNCTION("""COMPUTED_VALUE"""),"DB4")</f>
        <v>DB4</v>
      </c>
      <c r="K415" s="1" t="str">
        <f ca="1">IFERROR(__xludf.DUMMYFUNCTION("""COMPUTED_VALUE"""),"ems10260evd4024")</f>
        <v>ems10260evd4024</v>
      </c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 ht="15.75" customHeight="1" x14ac:dyDescent="0.2">
      <c r="A416" s="8">
        <f ca="1">IFERROR(__xludf.DUMMYFUNCTION("""COMPUTED_VALUE"""),45285.4410128703)</f>
        <v>45285.441012870302</v>
      </c>
      <c r="B416" s="1" t="str">
        <f ca="1">IFERROR(__xludf.DUMMYFUNCTION("""COMPUTED_VALUE"""),"CEC")</f>
        <v>CEC</v>
      </c>
      <c r="C416" s="1" t="str">
        <f ca="1">IFERROR(__xludf.DUMMYFUNCTION("""COMPUTED_VALUE"""),"ed136813914th")</f>
        <v>ed136813914th</v>
      </c>
      <c r="D416" s="1" t="str">
        <f ca="1">IFERROR(__xludf.DUMMYFUNCTION("""COMPUTED_VALUE"""),"ประภาพร")</f>
        <v>ประภาพร</v>
      </c>
      <c r="E416" s="1" t="str">
        <f ca="1">IFERROR(__xludf.DUMMYFUNCTION("""COMPUTED_VALUE"""),"092-7789588")</f>
        <v>092-7789588</v>
      </c>
      <c r="F416" s="1" t="str">
        <f ca="1">IFERROR(__xludf.DUMMYFUNCTION("""COMPUTED_VALUE"""),"884/1 สนง.กัณสูตรสาธารณะสุข ฯ สรรพาวุธ")</f>
        <v>884/1 สนง.กัณสูตรสาธารณะสุข ฯ สรรพาวุธ</v>
      </c>
      <c r="G416" s="1" t="str">
        <f ca="1">IFERROR(__xludf.DUMMYFUNCTION("""COMPUTED_VALUE"""),"นำจ่ายใหม่")</f>
        <v>นำจ่ายใหม่</v>
      </c>
      <c r="H416" s="1" t="str">
        <f ca="1">IFERROR(__xludf.DUMMYFUNCTION("""COMPUTED_VALUE"""),"-")</f>
        <v>-</v>
      </c>
      <c r="I416" s="1" t="str">
        <f ca="1">IFERROR(__xludf.DUMMYFUNCTION("""COMPUTED_VALUE"""),"-")</f>
        <v>-</v>
      </c>
      <c r="J416" s="1" t="str">
        <f ca="1">IFERROR(__xludf.DUMMYFUNCTION("""COMPUTED_VALUE"""),"DB2")</f>
        <v>DB2</v>
      </c>
      <c r="K416" s="1" t="str">
        <f ca="1">IFERROR(__xludf.DUMMYFUNCTION("""COMPUTED_VALUE"""),"ems10260evd2001")</f>
        <v>ems10260evd2001</v>
      </c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 ht="15.75" customHeight="1" x14ac:dyDescent="0.2">
      <c r="A417" s="8">
        <f ca="1">IFERROR(__xludf.DUMMYFUNCTION("""COMPUTED_VALUE"""),45285.4423042592)</f>
        <v>45285.442304259203</v>
      </c>
      <c r="B417" s="1" t="str">
        <f ca="1">IFERROR(__xludf.DUMMYFUNCTION("""COMPUTED_VALUE"""),"CEC")</f>
        <v>CEC</v>
      </c>
      <c r="C417" s="1" t="str">
        <f ca="1">IFERROR(__xludf.DUMMYFUNCTION("""COMPUTED_VALUE"""),"et005142439th")</f>
        <v>et005142439th</v>
      </c>
      <c r="D417" s="1" t="str">
        <f ca="1">IFERROR(__xludf.DUMMYFUNCTION("""COMPUTED_VALUE"""),"กัญทิยา")</f>
        <v>กัญทิยา</v>
      </c>
      <c r="E417" s="1" t="str">
        <f ca="1">IFERROR(__xludf.DUMMYFUNCTION("""COMPUTED_VALUE"""),"088-5614526")</f>
        <v>088-5614526</v>
      </c>
      <c r="F417" s="1" t="str">
        <f ca="1">IFERROR(__xludf.DUMMYFUNCTION("""COMPUTED_VALUE"""),"23/1 บ.เฟิร์สเลิฟโปรดักส์ ซ.สาธิต60")</f>
        <v>23/1 บ.เฟิร์สเลิฟโปรดักส์ ซ.สาธิต60</v>
      </c>
      <c r="G417" s="1" t="str">
        <f ca="1">IFERROR(__xludf.DUMMYFUNCTION("""COMPUTED_VALUE"""),"ตรวจสอบการนำจ่าย")</f>
        <v>ตรวจสอบการนำจ่าย</v>
      </c>
      <c r="H417" s="1" t="str">
        <f ca="1">IFERROR(__xludf.DUMMYFUNCTION("""COMPUTED_VALUE"""),"-")</f>
        <v>-</v>
      </c>
      <c r="I417" s="1" t="str">
        <f ca="1">IFERROR(__xludf.DUMMYFUNCTION("""COMPUTED_VALUE"""),"-")</f>
        <v>-</v>
      </c>
      <c r="J417" s="1" t="str">
        <f ca="1">IFERROR(__xludf.DUMMYFUNCTION("""COMPUTED_VALUE"""),"DB3")</f>
        <v>DB3</v>
      </c>
      <c r="K417" s="1" t="str">
        <f ca="1">IFERROR(__xludf.DUMMYFUNCTION("""COMPUTED_VALUE"""),"ำทห10260ำอก3035")</f>
        <v>ำทห10260ำอก3035</v>
      </c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 ht="15.75" customHeight="1" x14ac:dyDescent="0.2">
      <c r="A418" s="8">
        <f ca="1">IFERROR(__xludf.DUMMYFUNCTION("""COMPUTED_VALUE"""),45285.4481615046)</f>
        <v>45285.448161504602</v>
      </c>
      <c r="B418" s="1" t="str">
        <f ca="1">IFERROR(__xludf.DUMMYFUNCTION("""COMPUTED_VALUE"""),"CEC")</f>
        <v>CEC</v>
      </c>
      <c r="C418" s="1" t="str">
        <f ca="1">IFERROR(__xludf.DUMMYFUNCTION("""COMPUTED_VALUE"""),"en384949930th")</f>
        <v>en384949930th</v>
      </c>
      <c r="D418" s="1" t="str">
        <f ca="1">IFERROR(__xludf.DUMMYFUNCTION("""COMPUTED_VALUE"""),"-")</f>
        <v>-</v>
      </c>
      <c r="E418" s="1" t="str">
        <f ca="1">IFERROR(__xludf.DUMMYFUNCTION("""COMPUTED_VALUE"""),"02-01777777")</f>
        <v>02-01777777</v>
      </c>
      <c r="F418" s="1" t="str">
        <f ca="1">IFERROR(__xludf.DUMMYFUNCTION("""COMPUTED_VALUE"""),"บ.คอมเซเว่น สรรพาวุธ บางนา")</f>
        <v>บ.คอมเซเว่น สรรพาวุธ บางนา</v>
      </c>
      <c r="G418" s="1" t="str">
        <f ca="1">IFERROR(__xludf.DUMMYFUNCTION("""COMPUTED_VALUE"""),"ตรวจสอบการนำจ่าย")</f>
        <v>ตรวจสอบการนำจ่าย</v>
      </c>
      <c r="H418" s="1" t="str">
        <f ca="1">IFERROR(__xludf.DUMMYFUNCTION("""COMPUTED_VALUE"""),"-")</f>
        <v>-</v>
      </c>
      <c r="I418" s="1" t="str">
        <f ca="1">IFERROR(__xludf.DUMMYFUNCTION("""COMPUTED_VALUE"""),"-")</f>
        <v>-</v>
      </c>
      <c r="J418" s="1" t="str">
        <f ca="1">IFERROR(__xludf.DUMMYFUNCTION("""COMPUTED_VALUE"""),"นำจ่ายรถยนต์")</f>
        <v>นำจ่ายรถยนต์</v>
      </c>
      <c r="K418" s="1" t="str">
        <f ca="1">IFERROR(__xludf.DUMMYFUNCTION("""COMPUTED_VALUE"""),"car10260evd5004")</f>
        <v>car10260evd5004</v>
      </c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ht="15.75" customHeight="1" x14ac:dyDescent="0.2">
      <c r="A419" s="8">
        <f ca="1">IFERROR(__xludf.DUMMYFUNCTION("""COMPUTED_VALUE"""),45285.4656284722)</f>
        <v>45285.4656284722</v>
      </c>
      <c r="B419" s="1" t="str">
        <f ca="1">IFERROR(__xludf.DUMMYFUNCTION("""COMPUTED_VALUE"""),"CEC")</f>
        <v>CEC</v>
      </c>
      <c r="C419" s="1" t="str">
        <f ca="1">IFERROR(__xludf.DUMMYFUNCTION("""COMPUTED_VALUE"""),"ed885529212h")</f>
        <v>ed885529212h</v>
      </c>
      <c r="D419" s="1" t="str">
        <f ca="1">IFERROR(__xludf.DUMMYFUNCTION("""COMPUTED_VALUE"""),"สหพันธ์รัตน์")</f>
        <v>สหพันธ์รัตน์</v>
      </c>
      <c r="E419" s="1" t="str">
        <f ca="1">IFERROR(__xludf.DUMMYFUNCTION("""COMPUTED_VALUE"""),"0945781428")</f>
        <v>0945781428</v>
      </c>
      <c r="F419" s="1" t="str">
        <f ca="1">IFERROR(__xludf.DUMMYFUNCTION("""COMPUTED_VALUE"""),"โคลงการศักยายาภาพสู่ความสำเร็จ")</f>
        <v>โคลงการศักยายาภาพสู่ความสำเร็จ</v>
      </c>
      <c r="G419" s="1" t="str">
        <f ca="1">IFERROR(__xludf.DUMMYFUNCTION("""COMPUTED_VALUE"""),"นำจ่ายใหม่")</f>
        <v>นำจ่ายใหม่</v>
      </c>
      <c r="H419" s="1" t="str">
        <f ca="1">IFERROR(__xludf.DUMMYFUNCTION("""COMPUTED_VALUE"""),"บ้านปิด")</f>
        <v>บ้านปิด</v>
      </c>
      <c r="I419" s="1" t="str">
        <f ca="1">IFERROR(__xludf.DUMMYFUNCTION("""COMPUTED_VALUE"""),"แจ้งเจ้าหน้าที่นำจ่ายแล้ว")</f>
        <v>แจ้งเจ้าหน้าที่นำจ่ายแล้ว</v>
      </c>
      <c r="J419" s="1" t="str">
        <f ca="1">IFERROR(__xludf.DUMMYFUNCTION("""COMPUTED_VALUE"""),"DB3")</f>
        <v>DB3</v>
      </c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ht="15.75" customHeight="1" x14ac:dyDescent="0.2">
      <c r="A420" s="8">
        <f ca="1">IFERROR(__xludf.DUMMYFUNCTION("""COMPUTED_VALUE"""),45285.4724003125)</f>
        <v>45285.472400312501</v>
      </c>
      <c r="B420" s="1" t="str">
        <f ca="1">IFERROR(__xludf.DUMMYFUNCTION("""COMPUTED_VALUE"""),"CEC")</f>
        <v>CEC</v>
      </c>
      <c r="C420" s="1" t="str">
        <f ca="1">IFERROR(__xludf.DUMMYFUNCTION("""COMPUTED_VALUE"""),"eb957810138th")</f>
        <v>eb957810138th</v>
      </c>
      <c r="D420" s="1" t="str">
        <f ca="1">IFERROR(__xludf.DUMMYFUNCTION("""COMPUTED_VALUE"""),"อัฉรา")</f>
        <v>อัฉรา</v>
      </c>
      <c r="E420" s="1" t="str">
        <f ca="1">IFERROR(__xludf.DUMMYFUNCTION("""COMPUTED_VALUE"""),"0959651515")</f>
        <v>0959651515</v>
      </c>
      <c r="F420" s="1" t="str">
        <f ca="1">IFERROR(__xludf.DUMMYFUNCTION("""COMPUTED_VALUE"""),"549/1 ถ.สรรพาวุธ")</f>
        <v>549/1 ถ.สรรพาวุธ</v>
      </c>
      <c r="G420" s="1" t="str">
        <f ca="1">IFERROR(__xludf.DUMMYFUNCTION("""COMPUTED_VALUE"""),"นำจ่ายใหม่")</f>
        <v>นำจ่ายใหม่</v>
      </c>
      <c r="H420" s="1" t="str">
        <f ca="1">IFERROR(__xludf.DUMMYFUNCTION("""COMPUTED_VALUE"""),"บ.ปิด")</f>
        <v>บ.ปิด</v>
      </c>
      <c r="I420" s="1" t="str">
        <f ca="1">IFERROR(__xludf.DUMMYFUNCTION("""COMPUTED_VALUE"""),"แจ้งเจ้าหน้าที่นำจ่ายแล้ว")</f>
        <v>แจ้งเจ้าหน้าที่นำจ่ายแล้ว</v>
      </c>
      <c r="J420" s="1" t="str">
        <f ca="1">IFERROR(__xludf.DUMMYFUNCTION("""COMPUTED_VALUE"""),"นำจ่ายรถยนต์")</f>
        <v>นำจ่ายรถยนต์</v>
      </c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 ht="15.75" customHeight="1" x14ac:dyDescent="0.2">
      <c r="A421" s="8">
        <f ca="1">IFERROR(__xludf.DUMMYFUNCTION("""COMPUTED_VALUE"""),45285.4736868402)</f>
        <v>45285.473686840203</v>
      </c>
      <c r="B421" s="1" t="str">
        <f ca="1">IFERROR(__xludf.DUMMYFUNCTION("""COMPUTED_VALUE"""),"CEC")</f>
        <v>CEC</v>
      </c>
      <c r="C421" s="1" t="str">
        <f ca="1">IFERROR(__xludf.DUMMYFUNCTION("""COMPUTED_VALUE"""),"em348262825th")</f>
        <v>em348262825th</v>
      </c>
      <c r="D421" s="1" t="str">
        <f ca="1">IFERROR(__xludf.DUMMYFUNCTION("""COMPUTED_VALUE"""),"อนงค์")</f>
        <v>อนงค์</v>
      </c>
      <c r="E421" s="1" t="str">
        <f ca="1">IFERROR(__xludf.DUMMYFUNCTION("""COMPUTED_VALUE"""),"0850635155")</f>
        <v>0850635155</v>
      </c>
      <c r="F421" s="1" t="str">
        <f ca="1">IFERROR(__xludf.DUMMYFUNCTION("""COMPUTED_VALUE"""),"983 ถ.บางนาตราด")</f>
        <v>983 ถ.บางนาตราด</v>
      </c>
      <c r="G421" s="1" t="str">
        <f ca="1">IFERROR(__xludf.DUMMYFUNCTION("""COMPUTED_VALUE"""),"ตรวจสอบการนำจ่าย")</f>
        <v>ตรวจสอบการนำจ่าย</v>
      </c>
      <c r="H421" s="1" t="str">
        <f ca="1">IFERROR(__xludf.DUMMYFUNCTION("""COMPUTED_VALUE"""),"ผู้รับไม่ได้รับสิ่งของ")</f>
        <v>ผู้รับไม่ได้รับสิ่งของ</v>
      </c>
      <c r="I421" s="1" t="str">
        <f ca="1">IFERROR(__xludf.DUMMYFUNCTION("""COMPUTED_VALUE"""),"แจ้งเจ้าหน้านำจ่ายแล้ว")</f>
        <v>แจ้งเจ้าหน้านำจ่ายแล้ว</v>
      </c>
      <c r="J421" s="1" t="str">
        <f ca="1">IFERROR(__xludf.DUMMYFUNCTION("""COMPUTED_VALUE"""),"DB2")</f>
        <v>DB2</v>
      </c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 ht="15.75" customHeight="1" x14ac:dyDescent="0.2">
      <c r="A422" s="8">
        <f ca="1">IFERROR(__xludf.DUMMYFUNCTION("""COMPUTED_VALUE"""),45285.4759052893)</f>
        <v>45285.475905289299</v>
      </c>
      <c r="B422" s="1" t="str">
        <f ca="1">IFERROR(__xludf.DUMMYFUNCTION("""COMPUTED_VALUE"""),"CEC")</f>
        <v>CEC</v>
      </c>
      <c r="C422" s="1" t="str">
        <f ca="1">IFERROR(__xludf.DUMMYFUNCTION("""COMPUTED_VALUE"""),"ea904235712th")</f>
        <v>ea904235712th</v>
      </c>
      <c r="D422" s="1" t="str">
        <f ca="1">IFERROR(__xludf.DUMMYFUNCTION("""COMPUTED_VALUE"""),"สุปราณีิ  ")</f>
        <v xml:space="preserve">สุปราณีิ  </v>
      </c>
      <c r="E422" s="1" t="str">
        <f ca="1">IFERROR(__xludf.DUMMYFUNCTION("""COMPUTED_VALUE"""),"0929023950")</f>
        <v>0929023950</v>
      </c>
      <c r="F422" s="1" t="str">
        <f ca="1">IFERROR(__xludf.DUMMYFUNCTION("""COMPUTED_VALUE"""),"แคมก่อสร้าง  ลาซาล 75")</f>
        <v>แคมก่อสร้าง  ลาซาล 75</v>
      </c>
      <c r="G422" s="1" t="str">
        <f ca="1">IFERROR(__xludf.DUMMYFUNCTION("""COMPUTED_VALUE"""),"นำจ่ายใหม่")</f>
        <v>นำจ่ายใหม่</v>
      </c>
      <c r="H422" s="1" t="str">
        <f ca="1">IFERROR(__xludf.DUMMYFUNCTION("""COMPUTED_VALUE"""),"ผู้รับไม่รับโทรศัพย์")</f>
        <v>ผู้รับไม่รับโทรศัพย์</v>
      </c>
      <c r="I422" s="1" t="str">
        <f ca="1">IFERROR(__xludf.DUMMYFUNCTION("""COMPUTED_VALUE"""),"แจ้งเจ้าหน้าที่นำจ่ายใหม่แล้ว")</f>
        <v>แจ้งเจ้าหน้าที่นำจ่ายใหม่แล้ว</v>
      </c>
      <c r="J422" s="1" t="str">
        <f ca="1">IFERROR(__xludf.DUMMYFUNCTION("""COMPUTED_VALUE"""),"DB1")</f>
        <v>DB1</v>
      </c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 ht="15.75" customHeight="1" x14ac:dyDescent="0.2">
      <c r="A423" s="8">
        <f ca="1">IFERROR(__xludf.DUMMYFUNCTION("""COMPUTED_VALUE"""),45285.4817305324)</f>
        <v>45285.481730532403</v>
      </c>
      <c r="B423" s="1" t="str">
        <f ca="1">IFERROR(__xludf.DUMMYFUNCTION("""COMPUTED_VALUE"""),"CEC")</f>
        <v>CEC</v>
      </c>
      <c r="C423" s="1" t="str">
        <f ca="1">IFERROR(__xludf.DUMMYFUNCTION("""COMPUTED_VALUE"""),"ed846784434th")</f>
        <v>ed846784434th</v>
      </c>
      <c r="D423" s="1" t="str">
        <f ca="1">IFERROR(__xludf.DUMMYFUNCTION("""COMPUTED_VALUE"""),"วัชระ")</f>
        <v>วัชระ</v>
      </c>
      <c r="E423" s="1" t="str">
        <f ca="1">IFERROR(__xludf.DUMMYFUNCTION("""COMPUTED_VALUE"""),"0952465927")</f>
        <v>0952465927</v>
      </c>
      <c r="F423" s="1" t="str">
        <f ca="1">IFERROR(__xludf.DUMMYFUNCTION("""COMPUTED_VALUE"""),"29-31  ซ.ประวิช และเพิ่อน")</f>
        <v>29-31  ซ.ประวิช และเพิ่อน</v>
      </c>
      <c r="G423" s="1" t="str">
        <f ca="1">IFERROR(__xludf.DUMMYFUNCTION("""COMPUTED_VALUE"""),"นำจ่ายใหม่")</f>
        <v>นำจ่ายใหม่</v>
      </c>
      <c r="H423" s="1" t="str">
        <f ca="1">IFERROR(__xludf.DUMMYFUNCTION("""COMPUTED_VALUE"""),"บ้านปิดนำจ่ายใหม่")</f>
        <v>บ้านปิดนำจ่ายใหม่</v>
      </c>
      <c r="I423" s="1" t="str">
        <f ca="1">IFERROR(__xludf.DUMMYFUNCTION("""COMPUTED_VALUE"""),"แจ้งเจ้าหน้าที่นำจ่ายใหม่แล้ว")</f>
        <v>แจ้งเจ้าหน้าที่นำจ่ายใหม่แล้ว</v>
      </c>
      <c r="J423" s="1" t="str">
        <f ca="1">IFERROR(__xludf.DUMMYFUNCTION("""COMPUTED_VALUE"""),"DB3")</f>
        <v>DB3</v>
      </c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 ht="15.75" customHeight="1" x14ac:dyDescent="0.2">
      <c r="A424" s="8">
        <f ca="1">IFERROR(__xludf.DUMMYFUNCTION("""COMPUTED_VALUE"""),45285.483640949)</f>
        <v>45285.483640949002</v>
      </c>
      <c r="B424" s="1" t="str">
        <f ca="1">IFERROR(__xludf.DUMMYFUNCTION("""COMPUTED_VALUE"""),"CEC")</f>
        <v>CEC</v>
      </c>
      <c r="C424" s="1" t="str">
        <f ca="1">IFERROR(__xludf.DUMMYFUNCTION("""COMPUTED_VALUE"""),"eb940591787th")</f>
        <v>eb940591787th</v>
      </c>
      <c r="D424" s="1" t="str">
        <f ca="1">IFERROR(__xludf.DUMMYFUNCTION("""COMPUTED_VALUE"""),"ทัชกรณ์")</f>
        <v>ทัชกรณ์</v>
      </c>
      <c r="E424" s="1" t="str">
        <f ca="1">IFERROR(__xludf.DUMMYFUNCTION("""COMPUTED_VALUE"""),"0876797569")</f>
        <v>0876797569</v>
      </c>
      <c r="F424" s="1" t="str">
        <f ca="1">IFERROR(__xludf.DUMMYFUNCTION("""COMPUTED_VALUE"""),"49/9 แบริ่ง13")</f>
        <v>49/9 แบริ่ง13</v>
      </c>
      <c r="G424" s="1" t="str">
        <f ca="1">IFERROR(__xludf.DUMMYFUNCTION("""COMPUTED_VALUE"""),"นำจ่ายใหม่")</f>
        <v>นำจ่ายใหม่</v>
      </c>
      <c r="H424" s="1" t="str">
        <f ca="1">IFERROR(__xludf.DUMMYFUNCTION("""COMPUTED_VALUE"""),"บ้านปิด")</f>
        <v>บ้านปิด</v>
      </c>
      <c r="I424" s="1" t="str">
        <f ca="1">IFERROR(__xludf.DUMMYFUNCTION("""COMPUTED_VALUE"""),"แจ้งเจ้าหน้าที่นำจ่ายใหม่แล้ว")</f>
        <v>แจ้งเจ้าหน้าที่นำจ่ายใหม่แล้ว</v>
      </c>
      <c r="J424" s="1" t="str">
        <f ca="1">IFERROR(__xludf.DUMMYFUNCTION("""COMPUTED_VALUE"""),"DB1")</f>
        <v>DB1</v>
      </c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 ht="15.75" customHeight="1" x14ac:dyDescent="0.2">
      <c r="A425" s="8">
        <f ca="1">IFERROR(__xludf.DUMMYFUNCTION("""COMPUTED_VALUE"""),45285.4916375)</f>
        <v>45285.491637500003</v>
      </c>
      <c r="B425" s="1" t="str">
        <f ca="1">IFERROR(__xludf.DUMMYFUNCTION("""COMPUTED_VALUE"""),"CEC")</f>
        <v>CEC</v>
      </c>
      <c r="C425" s="1" t="str">
        <f ca="1">IFERROR(__xludf.DUMMYFUNCTION("""COMPUTED_VALUE"""),"ed133208448th")</f>
        <v>ed133208448th</v>
      </c>
      <c r="D425" s="1" t="str">
        <f ca="1">IFERROR(__xludf.DUMMYFUNCTION("""COMPUTED_VALUE"""),"นิตรติยา")</f>
        <v>นิตรติยา</v>
      </c>
      <c r="E425" s="1" t="str">
        <f ca="1">IFERROR(__xludf.DUMMYFUNCTION("""COMPUTED_VALUE"""),"092-4238799/092-8618468")</f>
        <v>092-4238799/092-8618468</v>
      </c>
      <c r="F425" s="1" t="str">
        <f ca="1">IFERROR(__xludf.DUMMYFUNCTION("""COMPUTED_VALUE"""),"11/37-39 บ.คลื่นน้ำเงิน สุขุมวิท93")</f>
        <v>11/37-39 บ.คลื่นน้ำเงิน สุขุมวิท93</v>
      </c>
      <c r="G425" s="1" t="str">
        <f ca="1">IFERROR(__xludf.DUMMYFUNCTION("""COMPUTED_VALUE"""),"นำจ่ายใหม่")</f>
        <v>นำจ่ายใหม่</v>
      </c>
      <c r="H425" s="1" t="str">
        <f ca="1">IFERROR(__xludf.DUMMYFUNCTION("""COMPUTED_VALUE"""),"-")</f>
        <v>-</v>
      </c>
      <c r="I425" s="1" t="str">
        <f ca="1">IFERROR(__xludf.DUMMYFUNCTION("""COMPUTED_VALUE"""),"-")</f>
        <v>-</v>
      </c>
      <c r="J425" s="1" t="str">
        <f ca="1">IFERROR(__xludf.DUMMYFUNCTION("""COMPUTED_VALUE"""),"DB3")</f>
        <v>DB3</v>
      </c>
      <c r="K425" s="1" t="str">
        <f ca="1">IFERROR(__xludf.DUMMYFUNCTION("""COMPUTED_VALUE"""),"ems10260evd3012")</f>
        <v>ems10260evd3012</v>
      </c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 ht="15.75" customHeight="1" x14ac:dyDescent="0.2">
      <c r="A426" s="8">
        <f ca="1">IFERROR(__xludf.DUMMYFUNCTION("""COMPUTED_VALUE"""),45285.4928232291)</f>
        <v>45285.492823229099</v>
      </c>
      <c r="B426" s="1" t="str">
        <f ca="1">IFERROR(__xludf.DUMMYFUNCTION("""COMPUTED_VALUE"""),"CEC")</f>
        <v>CEC</v>
      </c>
      <c r="C426" s="1" t="str">
        <f ca="1">IFERROR(__xludf.DUMMYFUNCTION("""COMPUTED_VALUE"""),"ea911378773th")</f>
        <v>ea911378773th</v>
      </c>
      <c r="D426" s="1" t="str">
        <f ca="1">IFERROR(__xludf.DUMMYFUNCTION("""COMPUTED_VALUE"""),"สมไพร")</f>
        <v>สมไพร</v>
      </c>
      <c r="E426" s="1" t="str">
        <f ca="1">IFERROR(__xludf.DUMMYFUNCTION("""COMPUTED_VALUE"""),"093-5828804")</f>
        <v>093-5828804</v>
      </c>
      <c r="F426" s="1" t="str">
        <f ca="1">IFERROR(__xludf.DUMMYFUNCTION("""COMPUTED_VALUE"""),"44 บ.คอมมานเดอร์ ซ.ข้าง รร.รุ่งเรืองวิทยา")</f>
        <v>44 บ.คอมมานเดอร์ ซ.ข้าง รร.รุ่งเรืองวิทยา</v>
      </c>
      <c r="G426" s="1" t="str">
        <f ca="1">IFERROR(__xludf.DUMMYFUNCTION("""COMPUTED_VALUE"""),"นำจ่ายใหม่")</f>
        <v>นำจ่ายใหม่</v>
      </c>
      <c r="H426" s="1" t="str">
        <f ca="1">IFERROR(__xludf.DUMMYFUNCTION("""COMPUTED_VALUE"""),"COD.250 บาท")</f>
        <v>COD.250 บาท</v>
      </c>
      <c r="I426" s="1" t="str">
        <f ca="1">IFERROR(__xludf.DUMMYFUNCTION("""COMPUTED_VALUE"""),"-")</f>
        <v>-</v>
      </c>
      <c r="J426" s="1" t="str">
        <f ca="1">IFERROR(__xludf.DUMMYFUNCTION("""COMPUTED_VALUE"""),"DB1")</f>
        <v>DB1</v>
      </c>
      <c r="K426" s="1" t="str">
        <f ca="1">IFERROR(__xludf.DUMMYFUNCTION("""COMPUTED_VALUE"""),"ems10260evd1006")</f>
        <v>ems10260evd1006</v>
      </c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 ht="15.75" customHeight="1" x14ac:dyDescent="0.2">
      <c r="A427" s="8">
        <f ca="1">IFERROR(__xludf.DUMMYFUNCTION("""COMPUTED_VALUE"""),45285.4942786342)</f>
        <v>45285.4942786342</v>
      </c>
      <c r="B427" s="1" t="str">
        <f ca="1">IFERROR(__xludf.DUMMYFUNCTION("""COMPUTED_VALUE"""),"CEC")</f>
        <v>CEC</v>
      </c>
      <c r="C427" s="1" t="str">
        <f ca="1">IFERROR(__xludf.DUMMYFUNCTION("""COMPUTED_VALUE"""),"ef911378773th")</f>
        <v>ef911378773th</v>
      </c>
      <c r="D427" s="1" t="str">
        <f ca="1">IFERROR(__xludf.DUMMYFUNCTION("""COMPUTED_VALUE"""),"พิชชารัตน์")</f>
        <v>พิชชารัตน์</v>
      </c>
      <c r="E427" s="1" t="str">
        <f ca="1">IFERROR(__xludf.DUMMYFUNCTION("""COMPUTED_VALUE"""),"082-5786945")</f>
        <v>082-5786945</v>
      </c>
      <c r="F427" s="1" t="str">
        <f ca="1">IFERROR(__xludf.DUMMYFUNCTION("""COMPUTED_VALUE"""),"29 พาวิลเลี่ยมแมนชั่น อุดมสุข 49")</f>
        <v>29 พาวิลเลี่ยมแมนชั่น อุดมสุข 49</v>
      </c>
      <c r="G427" s="1" t="str">
        <f ca="1">IFERROR(__xludf.DUMMYFUNCTION("""COMPUTED_VALUE"""),"นำจ่ายใหม่")</f>
        <v>นำจ่ายใหม่</v>
      </c>
      <c r="H427" s="1" t="str">
        <f ca="1">IFERROR(__xludf.DUMMYFUNCTION("""COMPUTED_VALUE"""),"COD.175 บาท")</f>
        <v>COD.175 บาท</v>
      </c>
      <c r="I427" s="1" t="str">
        <f ca="1">IFERROR(__xludf.DUMMYFUNCTION("""COMPUTED_VALUE"""),"-")</f>
        <v>-</v>
      </c>
      <c r="J427" s="1" t="str">
        <f ca="1">IFERROR(__xludf.DUMMYFUNCTION("""COMPUTED_VALUE"""),"DB3")</f>
        <v>DB3</v>
      </c>
      <c r="K427" s="1" t="str">
        <f ca="1">IFERROR(__xludf.DUMMYFUNCTION("""COMPUTED_VALUE"""),"ems10260evd3038")</f>
        <v>ems10260evd3038</v>
      </c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 ht="15.75" customHeight="1" x14ac:dyDescent="0.2">
      <c r="A428" s="8">
        <f ca="1">IFERROR(__xludf.DUMMYFUNCTION("""COMPUTED_VALUE"""),45285.5014367361)</f>
        <v>45285.5014367361</v>
      </c>
      <c r="B428" s="1" t="str">
        <f ca="1">IFERROR(__xludf.DUMMYFUNCTION("""COMPUTED_VALUE"""),"On Queue")</f>
        <v>On Queue</v>
      </c>
      <c r="C428" s="1" t="str">
        <f ca="1">IFERROR(__xludf.DUMMYFUNCTION("""COMPUTED_VALUE"""),"pf029087309th")</f>
        <v>pf029087309th</v>
      </c>
      <c r="D428" s="1" t="str">
        <f ca="1">IFERROR(__xludf.DUMMYFUNCTION("""COMPUTED_VALUE"""),"จิราภรณ์ ")</f>
        <v xml:space="preserve">จิราภรณ์ </v>
      </c>
      <c r="E428" s="1" t="str">
        <f ca="1">IFERROR(__xludf.DUMMYFUNCTION("""COMPUTED_VALUE"""),"089-5059919")</f>
        <v>089-5059919</v>
      </c>
      <c r="F428" s="1" t="str">
        <f ca="1">IFERROR(__xludf.DUMMYFUNCTION("""COMPUTED_VALUE"""),"24 ซอย.ลาซาน69 สุขุมวิท105")</f>
        <v>24 ซอย.ลาซาน69 สุขุมวิท105</v>
      </c>
      <c r="G428" s="1" t="str">
        <f ca="1">IFERROR(__xludf.DUMMYFUNCTION("""COMPUTED_VALUE"""),"ตรวจสอบการนำจ่าย")</f>
        <v>ตรวจสอบการนำจ่าย</v>
      </c>
      <c r="H428" s="1" t="str">
        <f ca="1">IFERROR(__xludf.DUMMYFUNCTION("""COMPUTED_VALUE"""),"-")</f>
        <v>-</v>
      </c>
      <c r="I428" s="1" t="str">
        <f ca="1">IFERROR(__xludf.DUMMYFUNCTION("""COMPUTED_VALUE"""),"-")</f>
        <v>-</v>
      </c>
      <c r="J428" s="1" t="str">
        <f ca="1">IFERROR(__xludf.DUMMYFUNCTION("""COMPUTED_VALUE"""),"นำจ่ายรถยนต์")</f>
        <v>นำจ่ายรถยนต์</v>
      </c>
      <c r="K428" s="1" t="str">
        <f ca="1">IFERROR(__xludf.DUMMYFUNCTION("""COMPUTED_VALUE"""),"car10260evd5006")</f>
        <v>car10260evd5006</v>
      </c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 ht="15.75" customHeight="1" x14ac:dyDescent="0.2">
      <c r="A429" s="8">
        <f ca="1">IFERROR(__xludf.DUMMYFUNCTION("""COMPUTED_VALUE"""),45285.502955162)</f>
        <v>45285.502955162003</v>
      </c>
      <c r="B429" s="1" t="str">
        <f ca="1">IFERROR(__xludf.DUMMYFUNCTION("""COMPUTED_VALUE"""),"CEC")</f>
        <v>CEC</v>
      </c>
      <c r="C429" s="1" t="str">
        <f ca="1">IFERROR(__xludf.DUMMYFUNCTION("""COMPUTED_VALUE"""),"ed079846024th")</f>
        <v>ed079846024th</v>
      </c>
      <c r="D429" s="1" t="str">
        <f ca="1">IFERROR(__xludf.DUMMYFUNCTION("""COMPUTED_VALUE"""),"อรุชา")</f>
        <v>อรุชา</v>
      </c>
      <c r="E429" s="1" t="str">
        <f ca="1">IFERROR(__xludf.DUMMYFUNCTION("""COMPUTED_VALUE"""),"096-5059198")</f>
        <v>096-5059198</v>
      </c>
      <c r="F429" s="1" t="str">
        <f ca="1">IFERROR(__xludf.DUMMYFUNCTION("""COMPUTED_VALUE"""),"54/199 คอนโดลุมพินีเพลส ชั่น ซี บางนา")</f>
        <v>54/199 คอนโดลุมพินีเพลส ชั่น ซี บางนา</v>
      </c>
      <c r="G429" s="1" t="str">
        <f ca="1">IFERROR(__xludf.DUMMYFUNCTION("""COMPUTED_VALUE"""),"ตรวจสอบการนำจ่าย")</f>
        <v>ตรวจสอบการนำจ่าย</v>
      </c>
      <c r="H429" s="1" t="str">
        <f ca="1">IFERROR(__xludf.DUMMYFUNCTION("""COMPUTED_VALUE"""),"นำจ่ายแล้ว")</f>
        <v>นำจ่ายแล้ว</v>
      </c>
      <c r="I429" s="1" t="str">
        <f ca="1">IFERROR(__xludf.DUMMYFUNCTION("""COMPUTED_VALUE"""),"-")</f>
        <v>-</v>
      </c>
      <c r="J429" s="1" t="str">
        <f ca="1">IFERROR(__xludf.DUMMYFUNCTION("""COMPUTED_VALUE"""),"นำจ่ายรถยนต์")</f>
        <v>นำจ่ายรถยนต์</v>
      </c>
      <c r="K429" s="1" t="str">
        <f ca="1">IFERROR(__xludf.DUMMYFUNCTION("""COMPUTED_VALUE"""),"car10260evd5007")</f>
        <v>car10260evd5007</v>
      </c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 ht="15.75" customHeight="1" x14ac:dyDescent="0.2">
      <c r="A430" s="8">
        <f ca="1">IFERROR(__xludf.DUMMYFUNCTION("""COMPUTED_VALUE"""),45285.5534100463)</f>
        <v>45285.553410046297</v>
      </c>
      <c r="B430" s="1" t="str">
        <f ca="1">IFERROR(__xludf.DUMMYFUNCTION("""COMPUTED_VALUE"""),"CEC")</f>
        <v>CEC</v>
      </c>
      <c r="C430" s="1" t="str">
        <f ca="1">IFERROR(__xludf.DUMMYFUNCTION("""COMPUTED_VALUE"""),"ef354277427th")</f>
        <v>ef354277427th</v>
      </c>
      <c r="D430" s="1" t="str">
        <f ca="1">IFERROR(__xludf.DUMMYFUNCTION("""COMPUTED_VALUE"""),"พิชรภา")</f>
        <v>พิชรภา</v>
      </c>
      <c r="E430" s="1" t="str">
        <f ca="1">IFERROR(__xludf.DUMMYFUNCTION("""COMPUTED_VALUE"""),"0917826141")</f>
        <v>0917826141</v>
      </c>
      <c r="F430" s="1" t="str">
        <f ca="1">IFERROR(__xludf.DUMMYFUNCTION("""COMPUTED_VALUE"""),"153 ซ95/1")</f>
        <v>153 ซ95/1</v>
      </c>
      <c r="G430" s="1" t="str">
        <f ca="1">IFERROR(__xludf.DUMMYFUNCTION("""COMPUTED_VALUE"""),"ตรวจสอบการนำจ่าย")</f>
        <v>ตรวจสอบการนำจ่าย</v>
      </c>
      <c r="H430" s="1" t="str">
        <f ca="1">IFERROR(__xludf.DUMMYFUNCTION("""COMPUTED_VALUE"""),"ผูรรับไม่ได้รับสิ่งของ")</f>
        <v>ผูรรับไม่ได้รับสิ่งของ</v>
      </c>
      <c r="I430" s="1" t="str">
        <f ca="1">IFERROR(__xludf.DUMMYFUNCTION("""COMPUTED_VALUE"""),"แจ้งหน้าที่นำจ่ายแล้ว")</f>
        <v>แจ้งหน้าที่นำจ่ายแล้ว</v>
      </c>
      <c r="J430" s="1" t="str">
        <f ca="1">IFERROR(__xludf.DUMMYFUNCTION("""COMPUTED_VALUE"""),"DB3")</f>
        <v>DB3</v>
      </c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 ht="15.75" customHeight="1" x14ac:dyDescent="0.2">
      <c r="A431" s="8">
        <f ca="1">IFERROR(__xludf.DUMMYFUNCTION("""COMPUTED_VALUE"""),45285.5548463194)</f>
        <v>45285.554846319399</v>
      </c>
      <c r="B431" s="1" t="str">
        <f ca="1">IFERROR(__xludf.DUMMYFUNCTION("""COMPUTED_VALUE"""),"CEC")</f>
        <v>CEC</v>
      </c>
      <c r="C431" s="1" t="str">
        <f ca="1">IFERROR(__xludf.DUMMYFUNCTION("""COMPUTED_VALUE"""),"eb957817391th")</f>
        <v>eb957817391th</v>
      </c>
      <c r="D431" s="1" t="str">
        <f ca="1">IFERROR(__xludf.DUMMYFUNCTION("""COMPUTED_VALUE"""),"ชัยวิชิต")</f>
        <v>ชัยวิชิต</v>
      </c>
      <c r="E431" s="1" t="str">
        <f ca="1">IFERROR(__xludf.DUMMYFUNCTION("""COMPUTED_VALUE"""),"0922691586")</f>
        <v>0922691586</v>
      </c>
      <c r="F431" s="1" t="str">
        <f ca="1">IFERROR(__xludf.DUMMYFUNCTION("""COMPUTED_VALUE"""),"549/1 คอมเซเว่น ถ.สรรพาวุธ")</f>
        <v>549/1 คอมเซเว่น ถ.สรรพาวุธ</v>
      </c>
      <c r="G431" s="1" t="str">
        <f ca="1">IFERROR(__xludf.DUMMYFUNCTION("""COMPUTED_VALUE"""),"นำจ่ายใหม่")</f>
        <v>นำจ่ายใหม่</v>
      </c>
      <c r="H431" s="1" t="str">
        <f ca="1">IFERROR(__xludf.DUMMYFUNCTION("""COMPUTED_VALUE"""),"บริษัท ปิด")</f>
        <v>บริษัท ปิด</v>
      </c>
      <c r="I431" s="1" t="str">
        <f ca="1">IFERROR(__xludf.DUMMYFUNCTION("""COMPUTED_VALUE"""),"แจ้งเจ้าหน้าที่นำจ่ายแล้ว")</f>
        <v>แจ้งเจ้าหน้าที่นำจ่ายแล้ว</v>
      </c>
      <c r="J431" s="1" t="str">
        <f ca="1">IFERROR(__xludf.DUMMYFUNCTION("""COMPUTED_VALUE"""),"นำจ่ายรถยนต์")</f>
        <v>นำจ่ายรถยนต์</v>
      </c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 ht="15.75" customHeight="1" x14ac:dyDescent="0.2">
      <c r="A432" s="8">
        <f ca="1">IFERROR(__xludf.DUMMYFUNCTION("""COMPUTED_VALUE"""),45285.6004191435)</f>
        <v>45285.600419143499</v>
      </c>
      <c r="B432" s="1" t="str">
        <f ca="1">IFERROR(__xludf.DUMMYFUNCTION("""COMPUTED_VALUE"""),"CEC")</f>
        <v>CEC</v>
      </c>
      <c r="C432" s="1" t="str">
        <f ca="1">IFERROR(__xludf.DUMMYFUNCTION("""COMPUTED_VALUE"""),"ed104450348th")</f>
        <v>ed104450348th</v>
      </c>
      <c r="D432" s="1" t="str">
        <f ca="1">IFERROR(__xludf.DUMMYFUNCTION("""COMPUTED_VALUE"""),"ธาริณี")</f>
        <v>ธาริณี</v>
      </c>
      <c r="E432" s="1" t="str">
        <f ca="1">IFERROR(__xludf.DUMMYFUNCTION("""COMPUTED_VALUE"""),"080-928656")</f>
        <v>080-928656</v>
      </c>
      <c r="F432" s="1" t="str">
        <f ca="1">IFERROR(__xludf.DUMMYFUNCTION("""COMPUTED_VALUE"""),"195/566 คอนโดไอดิโอโอทู ตึก บี สรรพาวุธ ")</f>
        <v xml:space="preserve">195/566 คอนโดไอดิโอโอทู ตึก บี สรรพาวุธ </v>
      </c>
      <c r="G432" s="1" t="str">
        <f ca="1">IFERROR(__xludf.DUMMYFUNCTION("""COMPUTED_VALUE"""),"ตรวจสอบการนำจ่าย")</f>
        <v>ตรวจสอบการนำจ่าย</v>
      </c>
      <c r="H432" s="1" t="str">
        <f ca="1">IFERROR(__xludf.DUMMYFUNCTION("""COMPUTED_VALUE"""),"-")</f>
        <v>-</v>
      </c>
      <c r="I432" s="1" t="str">
        <f ca="1">IFERROR(__xludf.DUMMYFUNCTION("""COMPUTED_VALUE"""),"-")</f>
        <v>-</v>
      </c>
      <c r="J432" s="1" t="str">
        <f ca="1">IFERROR(__xludf.DUMMYFUNCTION("""COMPUTED_VALUE"""),"นำจ่ายรถยนต์")</f>
        <v>นำจ่ายรถยนต์</v>
      </c>
      <c r="K432" s="1" t="str">
        <f ca="1">IFERROR(__xludf.DUMMYFUNCTION("""COMPUTED_VALUE"""),"car10260ed5004")</f>
        <v>car10260ed5004</v>
      </c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 ht="15.75" customHeight="1" x14ac:dyDescent="0.2">
      <c r="A433" s="8">
        <f ca="1">IFERROR(__xludf.DUMMYFUNCTION("""COMPUTED_VALUE"""),45285.6026453356)</f>
        <v>45285.602645335603</v>
      </c>
      <c r="B433" s="1" t="str">
        <f ca="1">IFERROR(__xludf.DUMMYFUNCTION("""COMPUTED_VALUE"""),"CEC")</f>
        <v>CEC</v>
      </c>
      <c r="C433" s="1" t="str">
        <f ca="1">IFERROR(__xludf.DUMMYFUNCTION("""COMPUTED_VALUE"""),"rl865438906th")</f>
        <v>rl865438906th</v>
      </c>
      <c r="D433" s="1" t="str">
        <f ca="1">IFERROR(__xludf.DUMMYFUNCTION("""COMPUTED_VALUE"""),"มิน (มินตรา)")</f>
        <v>มิน (มินตรา)</v>
      </c>
      <c r="E433" s="1" t="str">
        <f ca="1">IFERROR(__xludf.DUMMYFUNCTION("""COMPUTED_VALUE"""),"086-3044477")</f>
        <v>086-3044477</v>
      </c>
      <c r="F433" s="1" t="str">
        <f ca="1">IFERROR(__xludf.DUMMYFUNCTION("""COMPUTED_VALUE"""),"589/119 บ.เซเว่นสตาร์ ฯ อ.เซ็นทรัลซิตี้บางนา")</f>
        <v>589/119 บ.เซเว่นสตาร์ ฯ อ.เซ็นทรัลซิตี้บางนา</v>
      </c>
      <c r="G433" s="1" t="str">
        <f ca="1">IFERROR(__xludf.DUMMYFUNCTION("""COMPUTED_VALUE"""),"ตรวจสอบการนำจ่าย")</f>
        <v>ตรวจสอบการนำจ่าย</v>
      </c>
      <c r="H433" s="1" t="str">
        <f ca="1">IFERROR(__xludf.DUMMYFUNCTION("""COMPUTED_VALUE"""),"นำจ่ายแล้ว")</f>
        <v>นำจ่ายแล้ว</v>
      </c>
      <c r="I433" s="1" t="str">
        <f ca="1">IFERROR(__xludf.DUMMYFUNCTION("""COMPUTED_VALUE"""),"-")</f>
        <v>-</v>
      </c>
      <c r="J433" s="1" t="str">
        <f ca="1">IFERROR(__xludf.DUMMYFUNCTION("""COMPUTED_VALUE"""),"นำจ่ายรถยนต์")</f>
        <v>นำจ่ายรถยนต์</v>
      </c>
      <c r="K433" s="1" t="str">
        <f ca="1">IFERROR(__xludf.DUMMYFUNCTION("""COMPUTED_VALUE"""),"xar10260evd5007")</f>
        <v>xar10260evd5007</v>
      </c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 ht="15.75" customHeight="1" x14ac:dyDescent="0.2">
      <c r="A434" s="8">
        <f ca="1">IFERROR(__xludf.DUMMYFUNCTION("""COMPUTED_VALUE"""),45285.6080788888)</f>
        <v>45285.608078888799</v>
      </c>
      <c r="B434" s="1" t="str">
        <f ca="1">IFERROR(__xludf.DUMMYFUNCTION("""COMPUTED_VALUE"""),"CEC")</f>
        <v>CEC</v>
      </c>
      <c r="C434" s="1" t="str">
        <f ca="1">IFERROR(__xludf.DUMMYFUNCTION("""COMPUTED_VALUE"""),"lv003701838sg")</f>
        <v>lv003701838sg</v>
      </c>
      <c r="D434" s="1" t="str">
        <f ca="1">IFERROR(__xludf.DUMMYFUNCTION("""COMPUTED_VALUE"""),"กาญ")</f>
        <v>กาญ</v>
      </c>
      <c r="E434" s="1" t="str">
        <f ca="1">IFERROR(__xludf.DUMMYFUNCTION("""COMPUTED_VALUE"""),"0824440875")</f>
        <v>0824440875</v>
      </c>
      <c r="F434" s="1" t="str">
        <f ca="1">IFERROR(__xludf.DUMMYFUNCTION("""COMPUTED_VALUE"""),"89/297 ซ64")</f>
        <v>89/297 ซ64</v>
      </c>
      <c r="G434" s="1" t="str">
        <f ca="1">IFERROR(__xludf.DUMMYFUNCTION("""COMPUTED_VALUE"""),"ตรวจสอบการนำจ่าย")</f>
        <v>ตรวจสอบการนำจ่าย</v>
      </c>
      <c r="H434" s="1" t="str">
        <f ca="1">IFERROR(__xludf.DUMMYFUNCTION("""COMPUTED_VALUE"""),"ผู้รับไม่ได้รับสิ่งของ")</f>
        <v>ผู้รับไม่ได้รับสิ่งของ</v>
      </c>
      <c r="I434" s="1" t="str">
        <f ca="1">IFERROR(__xludf.DUMMYFUNCTION("""COMPUTED_VALUE"""),"แจ้งเจ้าหน้าที่นำจ่ายแล้ว")</f>
        <v>แจ้งเจ้าหน้าที่นำจ่ายแล้ว</v>
      </c>
      <c r="J434" s="1" t="str">
        <f ca="1">IFERROR(__xludf.DUMMYFUNCTION("""COMPUTED_VALUE"""),"นำจ่ายรถยนต์")</f>
        <v>นำจ่ายรถยนต์</v>
      </c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 ht="15.75" customHeight="1" x14ac:dyDescent="0.2">
      <c r="A435" s="8">
        <f ca="1">IFERROR(__xludf.DUMMYFUNCTION("""COMPUTED_VALUE"""),45285.632309155)</f>
        <v>45285.632309155</v>
      </c>
      <c r="B435" s="1" t="str">
        <f ca="1">IFERROR(__xludf.DUMMYFUNCTION("""COMPUTED_VALUE"""),"CEC")</f>
        <v>CEC</v>
      </c>
      <c r="C435" s="1" t="str">
        <f ca="1">IFERROR(__xludf.DUMMYFUNCTION("""COMPUTED_VALUE"""),"re671119543th")</f>
        <v>re671119543th</v>
      </c>
      <c r="D435" s="1" t="str">
        <f ca="1">IFERROR(__xludf.DUMMYFUNCTION("""COMPUTED_VALUE"""),"กันต์ยาวี")</f>
        <v>กันต์ยาวี</v>
      </c>
      <c r="E435" s="1" t="str">
        <f ca="1">IFERROR(__xludf.DUMMYFUNCTION("""COMPUTED_VALUE"""),"0925816706")</f>
        <v>0925816706</v>
      </c>
      <c r="F435" s="1" t="str">
        <f ca="1">IFERROR(__xludf.DUMMYFUNCTION("""COMPUTED_VALUE"""),"48/2  อ่อนนุช 1")</f>
        <v>48/2  อ่อนนุช 1</v>
      </c>
      <c r="G435" s="1" t="str">
        <f ca="1">IFERROR(__xludf.DUMMYFUNCTION("""COMPUTED_VALUE"""),"นำจ่ายใหม่")</f>
        <v>นำจ่ายใหม่</v>
      </c>
      <c r="H435" s="1" t="str">
        <f ca="1">IFERROR(__xludf.DUMMYFUNCTION("""COMPUTED_VALUE"""),"บ้านปิด")</f>
        <v>บ้านปิด</v>
      </c>
      <c r="I435" s="1" t="str">
        <f ca="1">IFERROR(__xludf.DUMMYFUNCTION("""COMPUTED_VALUE"""),"แจ้งเจ้าหน้าที่นำจ่ายแล้ว")</f>
        <v>แจ้งเจ้าหน้าที่นำจ่ายแล้ว</v>
      </c>
      <c r="J435" s="1" t="str">
        <f ca="1">IFERROR(__xludf.DUMMYFUNCTION("""COMPUTED_VALUE"""),"DB4")</f>
        <v>DB4</v>
      </c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 ht="15.75" customHeight="1" x14ac:dyDescent="0.2">
      <c r="A436" s="8">
        <f ca="1">IFERROR(__xludf.DUMMYFUNCTION("""COMPUTED_VALUE"""),45285.6336273611)</f>
        <v>45285.633627361101</v>
      </c>
      <c r="B436" s="1" t="str">
        <f ca="1">IFERROR(__xludf.DUMMYFUNCTION("""COMPUTED_VALUE"""),"CEC")</f>
        <v>CEC</v>
      </c>
      <c r="C436" s="1" t="str">
        <f ca="1">IFERROR(__xludf.DUMMYFUNCTION("""COMPUTED_VALUE"""),"ea910184881th")</f>
        <v>ea910184881th</v>
      </c>
      <c r="D436" s="1" t="str">
        <f ca="1">IFERROR(__xludf.DUMMYFUNCTION("""COMPUTED_VALUE"""),"ปุ้ย")</f>
        <v>ปุ้ย</v>
      </c>
      <c r="E436" s="1" t="str">
        <f ca="1">IFERROR(__xludf.DUMMYFUNCTION("""COMPUTED_VALUE"""),"0902635364")</f>
        <v>0902635364</v>
      </c>
      <c r="F436" s="1" t="str">
        <f ca="1">IFERROR(__xludf.DUMMYFUNCTION("""COMPUTED_VALUE"""),"400/5 ซ66/1")</f>
        <v>400/5 ซ66/1</v>
      </c>
      <c r="G436" s="1" t="str">
        <f ca="1">IFERROR(__xludf.DUMMYFUNCTION("""COMPUTED_VALUE"""),"นำจ่ายใหม่")</f>
        <v>นำจ่ายใหม่</v>
      </c>
      <c r="H436" s="1" t="str">
        <f ca="1">IFERROR(__xludf.DUMMYFUNCTION("""COMPUTED_VALUE"""),"บ้านปิด")</f>
        <v>บ้านปิด</v>
      </c>
      <c r="I436" s="1" t="str">
        <f ca="1">IFERROR(__xludf.DUMMYFUNCTION("""COMPUTED_VALUE"""),"แจ้งเจ้าหน้าที่นำจ่ายแ ล้ว")</f>
        <v>แจ้งเจ้าหน้าที่นำจ่ายแ ล้ว</v>
      </c>
      <c r="J436" s="1" t="str">
        <f ca="1">IFERROR(__xludf.DUMMYFUNCTION("""COMPUTED_VALUE"""),"DB4")</f>
        <v>DB4</v>
      </c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 ht="15.75" customHeight="1" x14ac:dyDescent="0.2">
      <c r="A437" s="8">
        <f ca="1">IFERROR(__xludf.DUMMYFUNCTION("""COMPUTED_VALUE"""),45285.6607382523)</f>
        <v>45285.6607382523</v>
      </c>
      <c r="B437" s="1" t="str">
        <f ca="1">IFERROR(__xludf.DUMMYFUNCTION("""COMPUTED_VALUE"""),"CEC")</f>
        <v>CEC</v>
      </c>
      <c r="C437" s="1" t="str">
        <f ca="1">IFERROR(__xludf.DUMMYFUNCTION("""COMPUTED_VALUE"""),"ea909593155th")</f>
        <v>ea909593155th</v>
      </c>
      <c r="D437" s="1" t="str">
        <f ca="1">IFERROR(__xludf.DUMMYFUNCTION("""COMPUTED_VALUE"""),"สุมาลี")</f>
        <v>สุมาลี</v>
      </c>
      <c r="E437" s="1" t="str">
        <f ca="1">IFERROR(__xludf.DUMMYFUNCTION("""COMPUTED_VALUE"""),"094-5548383")</f>
        <v>094-5548383</v>
      </c>
      <c r="F437" s="1" t="str">
        <f ca="1">IFERROR(__xludf.DUMMYFUNCTION("""COMPUTED_VALUE"""),"98/142 ซ.กุศลสิลป์ สรรพาวุธ")</f>
        <v>98/142 ซ.กุศลสิลป์ สรรพาวุธ</v>
      </c>
      <c r="G437" s="1" t="str">
        <f ca="1">IFERROR(__xludf.DUMMYFUNCTION("""COMPUTED_VALUE"""),"ตรวจสอบการนำจ่าย")</f>
        <v>ตรวจสอบการนำจ่าย</v>
      </c>
      <c r="H437" s="1" t="str">
        <f ca="1">IFERROR(__xludf.DUMMYFUNCTION("""COMPUTED_VALUE"""),"COd.1300 บาท")</f>
        <v>COd.1300 บาท</v>
      </c>
      <c r="I437" s="1" t="str">
        <f ca="1">IFERROR(__xludf.DUMMYFUNCTION("""COMPUTED_VALUE"""),"-")</f>
        <v>-</v>
      </c>
      <c r="J437" s="1" t="str">
        <f ca="1">IFERROR(__xludf.DUMMYFUNCTION("""COMPUTED_VALUE"""),"นำจ่ายรถยนต์")</f>
        <v>นำจ่ายรถยนต์</v>
      </c>
      <c r="K437" s="1" t="str">
        <f ca="1">IFERROR(__xludf.DUMMYFUNCTION("""COMPUTED_VALUE"""),"car10260evd5004")</f>
        <v>car10260evd5004</v>
      </c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 ht="15.75" customHeight="1" x14ac:dyDescent="0.2">
      <c r="A438" s="8">
        <f ca="1">IFERROR(__xludf.DUMMYFUNCTION("""COMPUTED_VALUE"""),45285.6617141666)</f>
        <v>45285.661714166599</v>
      </c>
      <c r="B438" s="1" t="str">
        <f ca="1">IFERROR(__xludf.DUMMYFUNCTION("""COMPUTED_VALUE"""),"CEC")</f>
        <v>CEC</v>
      </c>
      <c r="C438" s="1" t="str">
        <f ca="1">IFERROR(__xludf.DUMMYFUNCTION("""COMPUTED_VALUE"""),"ed725291056th")</f>
        <v>ed725291056th</v>
      </c>
      <c r="D438" s="1" t="str">
        <f ca="1">IFERROR(__xludf.DUMMYFUNCTION("""COMPUTED_VALUE"""),"กชกร")</f>
        <v>กชกร</v>
      </c>
      <c r="E438" s="1" t="str">
        <f ca="1">IFERROR(__xludf.DUMMYFUNCTION("""COMPUTED_VALUE"""),"094-5548383")</f>
        <v>094-5548383</v>
      </c>
      <c r="F438" s="1" t="str">
        <f ca="1">IFERROR(__xludf.DUMMYFUNCTION("""COMPUTED_VALUE"""),"548 บ.ไม้อัดไทย สรรพาวุธ")</f>
        <v>548 บ.ไม้อัดไทย สรรพาวุธ</v>
      </c>
      <c r="G438" s="1" t="str">
        <f ca="1">IFERROR(__xludf.DUMMYFUNCTION("""COMPUTED_VALUE"""),"ตรวจสอบการนำจ่าย")</f>
        <v>ตรวจสอบการนำจ่าย</v>
      </c>
      <c r="H438" s="1" t="str">
        <f ca="1">IFERROR(__xludf.DUMMYFUNCTION("""COMPUTED_VALUE"""),"-")</f>
        <v>-</v>
      </c>
      <c r="I438" s="1" t="str">
        <f ca="1">IFERROR(__xludf.DUMMYFUNCTION("""COMPUTED_VALUE"""),"-")</f>
        <v>-</v>
      </c>
      <c r="J438" s="1" t="str">
        <f ca="1">IFERROR(__xludf.DUMMYFUNCTION("""COMPUTED_VALUE"""),"DB2")</f>
        <v>DB2</v>
      </c>
      <c r="K438" s="1" t="str">
        <f ca="1">IFERROR(__xludf.DUMMYFUNCTION("""COMPUTED_VALUE"""),"ems10260evd2001")</f>
        <v>ems10260evd2001</v>
      </c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 ht="15.75" customHeight="1" x14ac:dyDescent="0.2">
      <c r="A439" s="8">
        <f ca="1">IFERROR(__xludf.DUMMYFUNCTION("""COMPUTED_VALUE"""),45285.662747037)</f>
        <v>45285.662747037</v>
      </c>
      <c r="B439" s="1" t="str">
        <f ca="1">IFERROR(__xludf.DUMMYFUNCTION("""COMPUTED_VALUE"""),"CEC")</f>
        <v>CEC</v>
      </c>
      <c r="C439" s="1" t="str">
        <f ca="1">IFERROR(__xludf.DUMMYFUNCTION("""COMPUTED_VALUE"""),"ea909593155th")</f>
        <v>ea909593155th</v>
      </c>
      <c r="D439" s="1" t="str">
        <f ca="1">IFERROR(__xludf.DUMMYFUNCTION("""COMPUTED_VALUE"""),"สุมาลี")</f>
        <v>สุมาลี</v>
      </c>
      <c r="E439" s="1" t="str">
        <f ca="1">IFERROR(__xludf.DUMMYFUNCTION("""COMPUTED_VALUE"""),"087-0285666")</f>
        <v>087-0285666</v>
      </c>
      <c r="F439" s="1" t="str">
        <f ca="1">IFERROR(__xludf.DUMMYFUNCTION("""COMPUTED_VALUE"""),"98/142 ซ.กุศลศิลป์ สรรพาวุธ")</f>
        <v>98/142 ซ.กุศลศิลป์ สรรพาวุธ</v>
      </c>
      <c r="G439" s="1" t="str">
        <f ca="1">IFERROR(__xludf.DUMMYFUNCTION("""COMPUTED_VALUE"""),"ตรวจสอบการนำจ่าย")</f>
        <v>ตรวจสอบการนำจ่าย</v>
      </c>
      <c r="H439" s="1" t="str">
        <f ca="1">IFERROR(__xludf.DUMMYFUNCTION("""COMPUTED_VALUE"""),"COD.1300บาท")</f>
        <v>COD.1300บาท</v>
      </c>
      <c r="I439" s="1" t="str">
        <f ca="1">IFERROR(__xludf.DUMMYFUNCTION("""COMPUTED_VALUE"""),"-")</f>
        <v>-</v>
      </c>
      <c r="J439" s="1" t="str">
        <f ca="1">IFERROR(__xludf.DUMMYFUNCTION("""COMPUTED_VALUE"""),"นำจ่ายรถยนต์")</f>
        <v>นำจ่ายรถยนต์</v>
      </c>
      <c r="K439" s="1" t="str">
        <f ca="1">IFERROR(__xludf.DUMMYFUNCTION("""COMPUTED_VALUE"""),"car10260evd5004")</f>
        <v>car10260evd5004</v>
      </c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 ht="15.75" customHeight="1" x14ac:dyDescent="0.2">
      <c r="A440" s="8">
        <f ca="1">IFERROR(__xludf.DUMMYFUNCTION("""COMPUTED_VALUE"""),45285.6638619444)</f>
        <v>45285.663861944398</v>
      </c>
      <c r="B440" s="1" t="str">
        <f ca="1">IFERROR(__xludf.DUMMYFUNCTION("""COMPUTED_VALUE"""),"CEC")</f>
        <v>CEC</v>
      </c>
      <c r="C440" s="1" t="str">
        <f ca="1">IFERROR(__xludf.DUMMYFUNCTION("""COMPUTED_VALUE"""),"ed119947690th")</f>
        <v>ed119947690th</v>
      </c>
      <c r="D440" s="1" t="str">
        <f ca="1">IFERROR(__xludf.DUMMYFUNCTION("""COMPUTED_VALUE"""),"kittawit")</f>
        <v>kittawit</v>
      </c>
      <c r="E440" s="1" t="str">
        <f ca="1">IFERROR(__xludf.DUMMYFUNCTION("""COMPUTED_VALUE"""),"02-3358184")</f>
        <v>02-3358184</v>
      </c>
      <c r="F440" s="1" t="str">
        <f ca="1">IFERROR(__xludf.DUMMYFUNCTION("""COMPUTED_VALUE"""),"210 บ.โรงกลั่นบางจาก สุขุมวิท64")</f>
        <v>210 บ.โรงกลั่นบางจาก สุขุมวิท64</v>
      </c>
      <c r="G440" s="1" t="str">
        <f ca="1">IFERROR(__xludf.DUMMYFUNCTION("""COMPUTED_VALUE"""),"ร้องเรียนบริการ")</f>
        <v>ร้องเรียนบริการ</v>
      </c>
      <c r="H440" s="1" t="str">
        <f ca="1">IFERROR(__xludf.DUMMYFUNCTION("""COMPUTED_VALUE"""),"-")</f>
        <v>-</v>
      </c>
      <c r="I440" s="1" t="str">
        <f ca="1">IFERROR(__xludf.DUMMYFUNCTION("""COMPUTED_VALUE"""),"-")</f>
        <v>-</v>
      </c>
      <c r="J440" s="1" t="str">
        <f ca="1">IFERROR(__xludf.DUMMYFUNCTION("""COMPUTED_VALUE"""),"นำจ่ายรถยนต์")</f>
        <v>นำจ่ายรถยนต์</v>
      </c>
      <c r="K440" s="1" t="str">
        <f ca="1">IFERROR(__xludf.DUMMYFUNCTION("""COMPUTED_VALUE"""),"car10260evd5004")</f>
        <v>car10260evd5004</v>
      </c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 ht="15.75" customHeight="1" x14ac:dyDescent="0.2">
      <c r="A441" s="8">
        <f ca="1">IFERROR(__xludf.DUMMYFUNCTION("""COMPUTED_VALUE"""),45286.4299721064)</f>
        <v>45286.429972106402</v>
      </c>
      <c r="B441" s="1" t="str">
        <f ca="1">IFERROR(__xludf.DUMMYFUNCTION("""COMPUTED_VALUE"""),"CEC")</f>
        <v>CEC</v>
      </c>
      <c r="C441" s="1" t="str">
        <f ca="1">IFERROR(__xludf.DUMMYFUNCTION("""COMPUTED_VALUE"""),"rl865673569th")</f>
        <v>rl865673569th</v>
      </c>
      <c r="D441" s="1" t="str">
        <f ca="1">IFERROR(__xludf.DUMMYFUNCTION("""COMPUTED_VALUE"""),"ภัทรกร")</f>
        <v>ภัทรกร</v>
      </c>
      <c r="E441" s="1" t="str">
        <f ca="1">IFERROR(__xludf.DUMMYFUNCTION("""COMPUTED_VALUE"""),"099-4974400")</f>
        <v>099-4974400</v>
      </c>
      <c r="F441" s="1" t="str">
        <f ca="1">IFERROR(__xludf.DUMMYFUNCTION("""COMPUTED_VALUE"""),"2/86 อาคารเซ็นทรัลซิตี้บางนา")</f>
        <v>2/86 อาคารเซ็นทรัลซิตี้บางนา</v>
      </c>
      <c r="G441" s="1" t="str">
        <f ca="1">IFERROR(__xludf.DUMMYFUNCTION("""COMPUTED_VALUE"""),"ตรวจสอบการนำจ่าย")</f>
        <v>ตรวจสอบการนำจ่าย</v>
      </c>
      <c r="H441" s="1" t="str">
        <f ca="1">IFERROR(__xludf.DUMMYFUNCTION("""COMPUTED_VALUE"""),"-")</f>
        <v>-</v>
      </c>
      <c r="I441" s="1" t="str">
        <f ca="1">IFERROR(__xludf.DUMMYFUNCTION("""COMPUTED_VALUE"""),"-")</f>
        <v>-</v>
      </c>
      <c r="J441" s="1" t="str">
        <f ca="1">IFERROR(__xludf.DUMMYFUNCTION("""COMPUTED_VALUE"""),"นำจ่ายรถยนต์")</f>
        <v>นำจ่ายรถยนต์</v>
      </c>
      <c r="K441" s="1" t="str">
        <f ca="1">IFERROR(__xludf.DUMMYFUNCTION("""COMPUTED_VALUE"""),"car10260evd5007")</f>
        <v>car10260evd5007</v>
      </c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 ht="15.75" customHeight="1" x14ac:dyDescent="0.2">
      <c r="A442" s="8">
        <f ca="1">IFERROR(__xludf.DUMMYFUNCTION("""COMPUTED_VALUE"""),45286.432394456)</f>
        <v>45286.432394456002</v>
      </c>
      <c r="B442" s="1" t="str">
        <f ca="1">IFERROR(__xludf.DUMMYFUNCTION("""COMPUTED_VALUE"""),"CEC")</f>
        <v>CEC</v>
      </c>
      <c r="C442" s="1" t="str">
        <f ca="1">IFERROR(__xludf.DUMMYFUNCTION("""COMPUTED_VALUE"""),"eb580643685th")</f>
        <v>eb580643685th</v>
      </c>
      <c r="D442" s="1" t="str">
        <f ca="1">IFERROR(__xludf.DUMMYFUNCTION("""COMPUTED_VALUE"""),"hlatunsein")</f>
        <v>hlatunsein</v>
      </c>
      <c r="E442" s="1" t="str">
        <f ca="1">IFERROR(__xludf.DUMMYFUNCTION("""COMPUTED_VALUE"""),"082-7289424")</f>
        <v>082-7289424</v>
      </c>
      <c r="F442" s="1" t="str">
        <f ca="1">IFERROR(__xludf.DUMMYFUNCTION("""COMPUTED_VALUE"""),"233-235 ซอย.อุดมสุข ซ.3 สุขุมวิท 103")</f>
        <v>233-235 ซอย.อุดมสุข ซ.3 สุขุมวิท 103</v>
      </c>
      <c r="G442" s="1" t="str">
        <f ca="1">IFERROR(__xludf.DUMMYFUNCTION("""COMPUTED_VALUE"""),"ตรวจสอบการนำจ่าย")</f>
        <v>ตรวจสอบการนำจ่าย</v>
      </c>
      <c r="H442" s="1" t="str">
        <f ca="1">IFERROR(__xludf.DUMMYFUNCTION("""COMPUTED_VALUE"""),"-")</f>
        <v>-</v>
      </c>
      <c r="I442" s="1" t="str">
        <f ca="1">IFERROR(__xludf.DUMMYFUNCTION("""COMPUTED_VALUE"""),"-")</f>
        <v>-</v>
      </c>
      <c r="J442" s="1" t="str">
        <f ca="1">IFERROR(__xludf.DUMMYFUNCTION("""COMPUTED_VALUE"""),"DB2")</f>
        <v>DB2</v>
      </c>
      <c r="K442" s="1" t="str">
        <f ca="1">IFERROR(__xludf.DUMMYFUNCTION("""COMPUTED_VALUE"""),"ems10260evd2020")</f>
        <v>ems10260evd2020</v>
      </c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 ht="15.75" customHeight="1" x14ac:dyDescent="0.2">
      <c r="A443" s="8">
        <f ca="1">IFERROR(__xludf.DUMMYFUNCTION("""COMPUTED_VALUE"""),45286.5112409375)</f>
        <v>45286.5112409375</v>
      </c>
      <c r="B443" s="1" t="str">
        <f ca="1">IFERROR(__xludf.DUMMYFUNCTION("""COMPUTED_VALUE"""),"CEC")</f>
        <v>CEC</v>
      </c>
      <c r="C443" s="1" t="str">
        <f ca="1">IFERROR(__xludf.DUMMYFUNCTION("""COMPUTED_VALUE"""),"ed841082730th")</f>
        <v>ed841082730th</v>
      </c>
      <c r="D443" s="1" t="str">
        <f ca="1">IFERROR(__xludf.DUMMYFUNCTION("""COMPUTED_VALUE"""),"อรนุช")</f>
        <v>อรนุช</v>
      </c>
      <c r="E443" s="1" t="str">
        <f ca="1">IFERROR(__xludf.DUMMYFUNCTION("""COMPUTED_VALUE"""),"092-8867421 รับ / 092-6684262 ส่ง")</f>
        <v>092-8867421 รับ / 092-6684262 ส่ง</v>
      </c>
      <c r="F443" s="1" t="str">
        <f ca="1">IFERROR(__xludf.DUMMYFUNCTION("""COMPUTED_VALUE"""),"6 ซอย.จ่าโสด แยก 24 สรรพาวุธ")</f>
        <v>6 ซอย.จ่าโสด แยก 24 สรรพาวุธ</v>
      </c>
      <c r="G443" s="1" t="str">
        <f ca="1">IFERROR(__xludf.DUMMYFUNCTION("""COMPUTED_VALUE"""),"ตรวจสอบการนำจ่าย")</f>
        <v>ตรวจสอบการนำจ่าย</v>
      </c>
      <c r="H443" s="1" t="str">
        <f ca="1">IFERROR(__xludf.DUMMYFUNCTION("""COMPUTED_VALUE"""),"-")</f>
        <v>-</v>
      </c>
      <c r="I443" s="1" t="str">
        <f ca="1">IFERROR(__xludf.DUMMYFUNCTION("""COMPUTED_VALUE"""),"-")</f>
        <v>-</v>
      </c>
      <c r="J443" s="1" t="str">
        <f ca="1">IFERROR(__xludf.DUMMYFUNCTION("""COMPUTED_VALUE"""),"นำจ่ายรถยนต์")</f>
        <v>นำจ่ายรถยนต์</v>
      </c>
      <c r="K443" s="1" t="str">
        <f ca="1">IFERROR(__xludf.DUMMYFUNCTION("""COMPUTED_VALUE"""),"car10260evd5004")</f>
        <v>car10260evd5004</v>
      </c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 ht="15.75" customHeight="1" x14ac:dyDescent="0.2">
      <c r="A444" s="8">
        <f ca="1">IFERROR(__xludf.DUMMYFUNCTION("""COMPUTED_VALUE"""),45286.5125773958)</f>
        <v>45286.512577395799</v>
      </c>
      <c r="B444" s="1" t="str">
        <f ca="1">IFERROR(__xludf.DUMMYFUNCTION("""COMPUTED_VALUE"""),"CEC")</f>
        <v>CEC</v>
      </c>
      <c r="C444" s="1" t="str">
        <f ca="1">IFERROR(__xludf.DUMMYFUNCTION("""COMPUTED_VALUE"""),"ea727328730th")</f>
        <v>ea727328730th</v>
      </c>
      <c r="D444" s="1" t="str">
        <f ca="1">IFERROR(__xludf.DUMMYFUNCTION("""COMPUTED_VALUE"""),"อมรรัตน์")</f>
        <v>อมรรัตน์</v>
      </c>
      <c r="E444" s="1" t="str">
        <f ca="1">IFERROR(__xludf.DUMMYFUNCTION("""COMPUTED_VALUE"""),"063-8244562")</f>
        <v>063-8244562</v>
      </c>
      <c r="F444" s="1" t="str">
        <f ca="1">IFERROR(__xludf.DUMMYFUNCTION("""COMPUTED_VALUE"""),"1858/87-90 อาคารอินเตอร์ลิ้งส์ทาวเวอร์")</f>
        <v>1858/87-90 อาคารอินเตอร์ลิ้งส์ทาวเวอร์</v>
      </c>
      <c r="G444" s="1" t="str">
        <f ca="1">IFERROR(__xludf.DUMMYFUNCTION("""COMPUTED_VALUE"""),"นำจ่ายใหม่")</f>
        <v>นำจ่ายใหม่</v>
      </c>
      <c r="H444" s="1" t="str">
        <f ca="1">IFERROR(__xludf.DUMMYFUNCTION("""COMPUTED_VALUE"""),"COD.93 บาท")</f>
        <v>COD.93 บาท</v>
      </c>
      <c r="I444" s="1" t="str">
        <f ca="1">IFERROR(__xludf.DUMMYFUNCTION("""COMPUTED_VALUE"""),"-")</f>
        <v>-</v>
      </c>
      <c r="J444" s="1" t="str">
        <f ca="1">IFERROR(__xludf.DUMMYFUNCTION("""COMPUTED_VALUE"""),"DB1")</f>
        <v>DB1</v>
      </c>
      <c r="K444" s="1" t="str">
        <f ca="1">IFERROR(__xludf.DUMMYFUNCTION("""COMPUTED_VALUE"""),"ems10260evd1027")</f>
        <v>ems10260evd1027</v>
      </c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 ht="15.75" customHeight="1" x14ac:dyDescent="0.2">
      <c r="A445" s="8">
        <f ca="1">IFERROR(__xludf.DUMMYFUNCTION("""COMPUTED_VALUE"""),45286.595943993)</f>
        <v>45286.595943993001</v>
      </c>
      <c r="B445" s="1" t="str">
        <f ca="1">IFERROR(__xludf.DUMMYFUNCTION("""COMPUTED_VALUE"""),"On Queue")</f>
        <v>On Queue</v>
      </c>
      <c r="C445" s="1" t="str">
        <f ca="1">IFERROR(__xludf.DUMMYFUNCTION("""COMPUTED_VALUE"""),"ed066138631th")</f>
        <v>ed066138631th</v>
      </c>
      <c r="D445" s="1" t="str">
        <f ca="1">IFERROR(__xludf.DUMMYFUNCTION("""COMPUTED_VALUE"""),"นฤมล")</f>
        <v>นฤมล</v>
      </c>
      <c r="E445" s="1" t="str">
        <f ca="1">IFERROR(__xludf.DUMMYFUNCTION("""COMPUTED_VALUE"""),"-")</f>
        <v>-</v>
      </c>
      <c r="F445" s="1" t="str">
        <f ca="1">IFERROR(__xludf.DUMMYFUNCTION("""COMPUTED_VALUE"""),"2106 บ.ดี เค เอส เอช สุขุมวิท")</f>
        <v>2106 บ.ดี เค เอส เอช สุขุมวิท</v>
      </c>
      <c r="G445" s="1" t="str">
        <f ca="1">IFERROR(__xludf.DUMMYFUNCTION("""COMPUTED_VALUE"""),"ตรวจสอบการนำจ่าย")</f>
        <v>ตรวจสอบการนำจ่าย</v>
      </c>
      <c r="H445" s="1" t="str">
        <f ca="1">IFERROR(__xludf.DUMMYFUNCTION("""COMPUTED_VALUE"""),"-")</f>
        <v>-</v>
      </c>
      <c r="I445" s="1" t="str">
        <f ca="1">IFERROR(__xludf.DUMMYFUNCTION("""COMPUTED_VALUE"""),"-")</f>
        <v>-</v>
      </c>
      <c r="J445" s="1" t="str">
        <f ca="1">IFERROR(__xludf.DUMMYFUNCTION("""COMPUTED_VALUE"""),"นำจ่ายรถยนต์")</f>
        <v>นำจ่ายรถยนต์</v>
      </c>
      <c r="K445" s="1" t="str">
        <f ca="1">IFERROR(__xludf.DUMMYFUNCTION("""COMPUTED_VALUE"""),"car10260evd5002")</f>
        <v>car10260evd5002</v>
      </c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 ht="15.75" customHeight="1" x14ac:dyDescent="0.2">
      <c r="A446" s="8">
        <f ca="1">IFERROR(__xludf.DUMMYFUNCTION("""COMPUTED_VALUE"""),45286.5974545486)</f>
        <v>45286.597454548602</v>
      </c>
      <c r="B446" s="1" t="str">
        <f ca="1">IFERROR(__xludf.DUMMYFUNCTION("""COMPUTED_VALUE"""),"CEC")</f>
        <v>CEC</v>
      </c>
      <c r="C446" s="1" t="str">
        <f ca="1">IFERROR(__xludf.DUMMYFUNCTION("""COMPUTED_VALUE"""),"ea727328730th")</f>
        <v>ea727328730th</v>
      </c>
      <c r="D446" s="1" t="str">
        <f ca="1">IFERROR(__xludf.DUMMYFUNCTION("""COMPUTED_VALUE"""),"อมรรัตน์")</f>
        <v>อมรรัตน์</v>
      </c>
      <c r="E446" s="1" t="str">
        <f ca="1">IFERROR(__xludf.DUMMYFUNCTION("""COMPUTED_VALUE"""),"063-8244562")</f>
        <v>063-8244562</v>
      </c>
      <c r="F446" s="1" t="str">
        <f ca="1">IFERROR(__xludf.DUMMYFUNCTION("""COMPUTED_VALUE"""),"1858/87-90 อาคารอินเตอร์ลิ้งส์ทาวเวอร์")</f>
        <v>1858/87-90 อาคารอินเตอร์ลิ้งส์ทาวเวอร์</v>
      </c>
      <c r="G446" s="1" t="str">
        <f ca="1">IFERROR(__xludf.DUMMYFUNCTION("""COMPUTED_VALUE"""),"นำจ่ายใหม่")</f>
        <v>นำจ่ายใหม่</v>
      </c>
      <c r="H446" s="1" t="str">
        <f ca="1">IFERROR(__xludf.DUMMYFUNCTION("""COMPUTED_VALUE"""),"COD.93 บาท")</f>
        <v>COD.93 บาท</v>
      </c>
      <c r="I446" s="1" t="str">
        <f ca="1">IFERROR(__xludf.DUMMYFUNCTION("""COMPUTED_VALUE"""),"-")</f>
        <v>-</v>
      </c>
      <c r="J446" s="1" t="str">
        <f ca="1">IFERROR(__xludf.DUMMYFUNCTION("""COMPUTED_VALUE"""),"DB1")</f>
        <v>DB1</v>
      </c>
      <c r="K446" s="1" t="str">
        <f ca="1">IFERROR(__xludf.DUMMYFUNCTION("""COMPUTED_VALUE"""),"ems10260evd1027")</f>
        <v>ems10260evd1027</v>
      </c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 ht="15.75" customHeight="1" x14ac:dyDescent="0.2">
      <c r="A447" s="8">
        <f ca="1">IFERROR(__xludf.DUMMYFUNCTION("""COMPUTED_VALUE"""),45286.5988825463)</f>
        <v>45286.598882546299</v>
      </c>
      <c r="B447" s="1" t="str">
        <f ca="1">IFERROR(__xludf.DUMMYFUNCTION("""COMPUTED_VALUE"""),"CEC")</f>
        <v>CEC</v>
      </c>
      <c r="C447" s="1" t="str">
        <f ca="1">IFERROR(__xludf.DUMMYFUNCTION("""COMPUTED_VALUE"""),"en548939657th")</f>
        <v>en548939657th</v>
      </c>
      <c r="D447" s="1" t="str">
        <f ca="1">IFERROR(__xludf.DUMMYFUNCTION("""COMPUTED_VALUE"""),"เชษฐวิทย์")</f>
        <v>เชษฐวิทย์</v>
      </c>
      <c r="E447" s="1" t="str">
        <f ca="1">IFERROR(__xludf.DUMMYFUNCTION("""COMPUTED_VALUE"""),"063-6654941")</f>
        <v>063-6654941</v>
      </c>
      <c r="F447" s="1" t="str">
        <f ca="1">IFERROR(__xludf.DUMMYFUNCTION("""COMPUTED_VALUE"""),"62 บางนา ตราด 31 ")</f>
        <v xml:space="preserve">62 บางนา ตราด 31 </v>
      </c>
      <c r="G447" s="1" t="str">
        <f ca="1">IFERROR(__xludf.DUMMYFUNCTION("""COMPUTED_VALUE"""),"ตรวจสอบการนำจ่าย")</f>
        <v>ตรวจสอบการนำจ่าย</v>
      </c>
      <c r="H447" s="1" t="str">
        <f ca="1">IFERROR(__xludf.DUMMYFUNCTION("""COMPUTED_VALUE"""),"-")</f>
        <v>-</v>
      </c>
      <c r="I447" s="1" t="str">
        <f ca="1">IFERROR(__xludf.DUMMYFUNCTION("""COMPUTED_VALUE"""),"-")</f>
        <v>-</v>
      </c>
      <c r="J447" s="1" t="str">
        <f ca="1">IFERROR(__xludf.DUMMYFUNCTION("""COMPUTED_VALUE"""),"DB2")</f>
        <v>DB2</v>
      </c>
      <c r="K447" s="1" t="str">
        <f ca="1">IFERROR(__xludf.DUMMYFUNCTION("""COMPUTED_VALUE"""),"ems10260evd2012")</f>
        <v>ems10260evd2012</v>
      </c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 ht="15.75" customHeight="1" x14ac:dyDescent="0.2">
      <c r="A448" s="8">
        <f ca="1">IFERROR(__xludf.DUMMYFUNCTION("""COMPUTED_VALUE"""),45286.5998349305)</f>
        <v>45286.599834930501</v>
      </c>
      <c r="B448" s="1" t="str">
        <f ca="1">IFERROR(__xludf.DUMMYFUNCTION("""COMPUTED_VALUE"""),"CEC")</f>
        <v>CEC</v>
      </c>
      <c r="C448" s="1" t="str">
        <f ca="1">IFERROR(__xludf.DUMMYFUNCTION("""COMPUTED_VALUE"""),"ef358782851th")</f>
        <v>ef358782851th</v>
      </c>
      <c r="D448" s="1" t="str">
        <f ca="1">IFERROR(__xludf.DUMMYFUNCTION("""COMPUTED_VALUE"""),"ภัทราวรรณ")</f>
        <v>ภัทราวรรณ</v>
      </c>
      <c r="E448" s="1" t="str">
        <f ca="1">IFERROR(__xludf.DUMMYFUNCTION("""COMPUTED_VALUE"""),"081-8555464")</f>
        <v>081-8555464</v>
      </c>
      <c r="F448" s="1" t="str">
        <f ca="1">IFERROR(__xludf.DUMMYFUNCTION("""COMPUTED_VALUE"""),"886/4 คอนโดบ้านสาวนลาซาน ศรีนครินทร์")</f>
        <v>886/4 คอนโดบ้านสาวนลาซาน ศรีนครินทร์</v>
      </c>
      <c r="G448" s="1" t="str">
        <f ca="1">IFERROR(__xludf.DUMMYFUNCTION("""COMPUTED_VALUE"""),"ตรวจสอบการนำจ่าย")</f>
        <v>ตรวจสอบการนำจ่าย</v>
      </c>
      <c r="H448" s="1"/>
      <c r="I448" s="1" t="str">
        <f ca="1">IFERROR(__xludf.DUMMYFUNCTION("""COMPUTED_VALUE"""),"-")</f>
        <v>-</v>
      </c>
      <c r="J448" s="1" t="str">
        <f ca="1">IFERROR(__xludf.DUMMYFUNCTION("""COMPUTED_VALUE"""),"DB1")</f>
        <v>DB1</v>
      </c>
      <c r="K448" s="1" t="str">
        <f ca="1">IFERROR(__xludf.DUMMYFUNCTION("""COMPUTED_VALUE"""),"ems10260evd1027")</f>
        <v>ems10260evd1027</v>
      </c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 ht="15.75" customHeight="1" x14ac:dyDescent="0.2">
      <c r="A449" s="8">
        <f ca="1">IFERROR(__xludf.DUMMYFUNCTION("""COMPUTED_VALUE"""),45286.6005613425)</f>
        <v>45286.6005613425</v>
      </c>
      <c r="B449" s="1" t="str">
        <f ca="1">IFERROR(__xludf.DUMMYFUNCTION("""COMPUTED_VALUE"""),"CEC")</f>
        <v>CEC</v>
      </c>
      <c r="C449" s="1" t="str">
        <f ca="1">IFERROR(__xludf.DUMMYFUNCTION("""COMPUTED_VALUE"""),"ef357420428th")</f>
        <v>ef357420428th</v>
      </c>
      <c r="D449" s="1" t="str">
        <f ca="1">IFERROR(__xludf.DUMMYFUNCTION("""COMPUTED_VALUE"""),"ภัทราวรรณ")</f>
        <v>ภัทราวรรณ</v>
      </c>
      <c r="E449" s="1" t="str">
        <f ca="1">IFERROR(__xludf.DUMMYFUNCTION("""COMPUTED_VALUE"""),"081-8555464")</f>
        <v>081-8555464</v>
      </c>
      <c r="F449" s="1" t="str">
        <f ca="1">IFERROR(__xludf.DUMMYFUNCTION("""COMPUTED_VALUE"""),"886/4 คอนโดบ้านสวนลาซาน ศรีนครินทร์")</f>
        <v>886/4 คอนโดบ้านสวนลาซาน ศรีนครินทร์</v>
      </c>
      <c r="G449" s="1" t="str">
        <f ca="1">IFERROR(__xludf.DUMMYFUNCTION("""COMPUTED_VALUE"""),"ตรวจสอบการนำจ่าย")</f>
        <v>ตรวจสอบการนำจ่าย</v>
      </c>
      <c r="H449" s="1" t="str">
        <f ca="1">IFERROR(__xludf.DUMMYFUNCTION("""COMPUTED_VALUE"""),"-")</f>
        <v>-</v>
      </c>
      <c r="I449" s="1" t="str">
        <f ca="1">IFERROR(__xludf.DUMMYFUNCTION("""COMPUTED_VALUE"""),"-")</f>
        <v>-</v>
      </c>
      <c r="J449" s="1" t="str">
        <f ca="1">IFERROR(__xludf.DUMMYFUNCTION("""COMPUTED_VALUE"""),"DB1")</f>
        <v>DB1</v>
      </c>
      <c r="K449" s="1" t="str">
        <f ca="1">IFERROR(__xludf.DUMMYFUNCTION("""COMPUTED_VALUE"""),"ems10260evd1027")</f>
        <v>ems10260evd1027</v>
      </c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 ht="15.75" customHeight="1" x14ac:dyDescent="0.2">
      <c r="A450" s="8">
        <f ca="1">IFERROR(__xludf.DUMMYFUNCTION("""COMPUTED_VALUE"""),45286.6209465162)</f>
        <v>45286.620946516203</v>
      </c>
      <c r="B450" s="1" t="str">
        <f ca="1">IFERROR(__xludf.DUMMYFUNCTION("""COMPUTED_VALUE"""),"CEC")</f>
        <v>CEC</v>
      </c>
      <c r="C450" s="1" t="str">
        <f ca="1">IFERROR(__xludf.DUMMYFUNCTION("""COMPUTED_VALUE"""),"ef35003184th")</f>
        <v>ef35003184th</v>
      </c>
      <c r="D450" s="1" t="str">
        <f ca="1">IFERROR(__xludf.DUMMYFUNCTION("""COMPUTED_VALUE"""),"ประภา")</f>
        <v>ประภา</v>
      </c>
      <c r="E450" s="1" t="str">
        <f ca="1">IFERROR(__xludf.DUMMYFUNCTION("""COMPUTED_VALUE"""),"063-1184747")</f>
        <v>063-1184747</v>
      </c>
      <c r="F450" s="1" t="str">
        <f ca="1">IFERROR(__xludf.DUMMYFUNCTION("""COMPUTED_VALUE"""),"223/61 อาคารคันทรี เอ สรรพาวุธ บางนา")</f>
        <v>223/61 อาคารคันทรี เอ สรรพาวุธ บางนา</v>
      </c>
      <c r="G450" s="1" t="str">
        <f ca="1">IFERROR(__xludf.DUMMYFUNCTION("""COMPUTED_VALUE"""),"ตรวจสอบการนำจ่าย")</f>
        <v>ตรวจสอบการนำจ่าย</v>
      </c>
      <c r="H450" s="1" t="str">
        <f ca="1">IFERROR(__xludf.DUMMYFUNCTION("""COMPUTED_VALUE"""),"-")</f>
        <v>-</v>
      </c>
      <c r="I450" s="1" t="str">
        <f ca="1">IFERROR(__xludf.DUMMYFUNCTION("""COMPUTED_VALUE"""),"-")</f>
        <v>-</v>
      </c>
      <c r="J450" s="1" t="str">
        <f ca="1">IFERROR(__xludf.DUMMYFUNCTION("""COMPUTED_VALUE"""),"นำจ่ายรถยนต์")</f>
        <v>นำจ่ายรถยนต์</v>
      </c>
      <c r="K450" s="1" t="str">
        <f ca="1">IFERROR(__xludf.DUMMYFUNCTION("""COMPUTED_VALUE"""),"car10260evd5004")</f>
        <v>car10260evd5004</v>
      </c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 ht="15.75" customHeight="1" x14ac:dyDescent="0.2">
      <c r="A451" s="8">
        <f ca="1">IFERROR(__xludf.DUMMYFUNCTION("""COMPUTED_VALUE"""),45286.6410921296)</f>
        <v>45286.641092129597</v>
      </c>
      <c r="B451" s="1" t="str">
        <f ca="1">IFERROR(__xludf.DUMMYFUNCTION("""COMPUTED_VALUE"""),"CEC")</f>
        <v>CEC</v>
      </c>
      <c r="C451" s="1" t="str">
        <f ca="1">IFERROR(__xludf.DUMMYFUNCTION("""COMPUTED_VALUE"""),"eh944777892th")</f>
        <v>eh944777892th</v>
      </c>
      <c r="D451" s="1" t="str">
        <f ca="1">IFERROR(__xludf.DUMMYFUNCTION("""COMPUTED_VALUE"""),"-")</f>
        <v>-</v>
      </c>
      <c r="E451" s="1" t="str">
        <f ca="1">IFERROR(__xludf.DUMMYFUNCTION("""COMPUTED_VALUE"""),"063-6624236")</f>
        <v>063-6624236</v>
      </c>
      <c r="F451" s="1" t="str">
        <f ca="1">IFERROR(__xludf.DUMMYFUNCTION("""COMPUTED_VALUE"""),"753 บ.toyota มอเตอร์ ประเทศไทย ")</f>
        <v xml:space="preserve">753 บ.toyota มอเตอร์ ประเทศไทย </v>
      </c>
      <c r="G451" s="1" t="str">
        <f ca="1">IFERROR(__xludf.DUMMYFUNCTION("""COMPUTED_VALUE"""),"ตรวจสอบการนำจ่าย")</f>
        <v>ตรวจสอบการนำจ่าย</v>
      </c>
      <c r="H451" s="1" t="str">
        <f ca="1">IFERROR(__xludf.DUMMYFUNCTION("""COMPUTED_VALUE"""),"-")</f>
        <v>-</v>
      </c>
      <c r="I451" s="1" t="str">
        <f ca="1">IFERROR(__xludf.DUMMYFUNCTION("""COMPUTED_VALUE"""),"-")</f>
        <v>-</v>
      </c>
      <c r="J451" s="1" t="str">
        <f ca="1">IFERROR(__xludf.DUMMYFUNCTION("""COMPUTED_VALUE"""),"DB2")</f>
        <v>DB2</v>
      </c>
      <c r="K451" s="1" t="str">
        <f ca="1">IFERROR(__xludf.DUMMYFUNCTION("""COMPUTED_VALUE"""),"ems10260evd2010")</f>
        <v>ems10260evd2010</v>
      </c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 ht="15.75" customHeight="1" x14ac:dyDescent="0.2">
      <c r="A452" s="8">
        <f ca="1">IFERROR(__xludf.DUMMYFUNCTION("""COMPUTED_VALUE"""),45286.6812264004)</f>
        <v>45286.681226400397</v>
      </c>
      <c r="B452" s="1" t="str">
        <f ca="1">IFERROR(__xludf.DUMMYFUNCTION("""COMPUTED_VALUE"""),"CEC")</f>
        <v>CEC</v>
      </c>
      <c r="C452" s="1" t="str">
        <f ca="1">IFERROR(__xludf.DUMMYFUNCTION("""COMPUTED_VALUE"""),"em392621655th")</f>
        <v>em392621655th</v>
      </c>
      <c r="D452" s="1" t="str">
        <f ca="1">IFERROR(__xludf.DUMMYFUNCTION("""COMPUTED_VALUE"""),"นกเล็ก")</f>
        <v>นกเล็ก</v>
      </c>
      <c r="E452" s="1" t="str">
        <f ca="1">IFERROR(__xludf.DUMMYFUNCTION("""COMPUTED_VALUE"""),"095-9392448")</f>
        <v>095-9392448</v>
      </c>
      <c r="F452" s="1" t="str">
        <f ca="1">IFERROR(__xludf.DUMMYFUNCTION("""COMPUTED_VALUE"""),"สาระอพาร์ทเมนท์ บางนา ตราด22")</f>
        <v>สาระอพาร์ทเมนท์ บางนา ตราด22</v>
      </c>
      <c r="G452" s="1" t="str">
        <f ca="1">IFERROR(__xludf.DUMMYFUNCTION("""COMPUTED_VALUE"""),"นำจ่ายใหม่")</f>
        <v>นำจ่ายใหม่</v>
      </c>
      <c r="H452" s="1" t="str">
        <f ca="1">IFERROR(__xludf.DUMMYFUNCTION("""COMPUTED_VALUE"""),"COD.1000 บาท")</f>
        <v>COD.1000 บาท</v>
      </c>
      <c r="I452" s="1" t="str">
        <f ca="1">IFERROR(__xludf.DUMMYFUNCTION("""COMPUTED_VALUE"""),"-")</f>
        <v>-</v>
      </c>
      <c r="J452" s="1" t="str">
        <f ca="1">IFERROR(__xludf.DUMMYFUNCTION("""COMPUTED_VALUE"""),"นำจ่ายรถยนต์")</f>
        <v>นำจ่ายรถยนต์</v>
      </c>
      <c r="K452" s="1" t="str">
        <f ca="1">IFERROR(__xludf.DUMMYFUNCTION("""COMPUTED_VALUE"""),"car10260evd5008")</f>
        <v>car10260evd5008</v>
      </c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 ht="15.75" customHeight="1" x14ac:dyDescent="0.2">
      <c r="A453" s="8">
        <f ca="1">IFERROR(__xludf.DUMMYFUNCTION("""COMPUTED_VALUE"""),45287.4187579398)</f>
        <v>45287.418757939799</v>
      </c>
      <c r="B453" s="1" t="str">
        <f ca="1">IFERROR(__xludf.DUMMYFUNCTION("""COMPUTED_VALUE"""),"CEC")</f>
        <v>CEC</v>
      </c>
      <c r="C453" s="1" t="str">
        <f ca="1">IFERROR(__xludf.DUMMYFUNCTION("""COMPUTED_VALUE"""),"en560776444th")</f>
        <v>en560776444th</v>
      </c>
      <c r="D453" s="1" t="str">
        <f ca="1">IFERROR(__xludf.DUMMYFUNCTION("""COMPUTED_VALUE"""),"เบญจพร")</f>
        <v>เบญจพร</v>
      </c>
      <c r="E453" s="1" t="str">
        <f ca="1">IFERROR(__xludf.DUMMYFUNCTION("""COMPUTED_VALUE"""),"065-6164994")</f>
        <v>065-6164994</v>
      </c>
      <c r="F453" s="1" t="str">
        <f ca="1">IFERROR(__xludf.DUMMYFUNCTION("""COMPUTED_VALUE"""),"304/759 ซ.พึงมี 50/34 สุขุมวิท 93")</f>
        <v>304/759 ซ.พึงมี 50/34 สุขุมวิท 93</v>
      </c>
      <c r="G453" s="1" t="str">
        <f ca="1">IFERROR(__xludf.DUMMYFUNCTION("""COMPUTED_VALUE"""),"ตรวจสอบการนำจ่าย")</f>
        <v>ตรวจสอบการนำจ่าย</v>
      </c>
      <c r="H453" s="1" t="str">
        <f ca="1">IFERROR(__xludf.DUMMYFUNCTION("""COMPUTED_VALUE"""),"-")</f>
        <v>-</v>
      </c>
      <c r="I453" s="1" t="str">
        <f ca="1">IFERROR(__xludf.DUMMYFUNCTION("""COMPUTED_VALUE"""),"-")</f>
        <v>-</v>
      </c>
      <c r="J453" s="1" t="str">
        <f ca="1">IFERROR(__xludf.DUMMYFUNCTION("""COMPUTED_VALUE"""),"DB3")</f>
        <v>DB3</v>
      </c>
      <c r="K453" s="1" t="str">
        <f ca="1">IFERROR(__xludf.DUMMYFUNCTION("""COMPUTED_VALUE"""),"ems10260evd3005")</f>
        <v>ems10260evd3005</v>
      </c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 ht="15.75" customHeight="1" x14ac:dyDescent="0.2">
      <c r="A454" s="8">
        <f ca="1">IFERROR(__xludf.DUMMYFUNCTION("""COMPUTED_VALUE"""),45287.462680405)</f>
        <v>45287.462680404999</v>
      </c>
      <c r="B454" s="1" t="str">
        <f ca="1">IFERROR(__xludf.DUMMYFUNCTION("""COMPUTED_VALUE"""),"CEC")</f>
        <v>CEC</v>
      </c>
      <c r="C454" s="1" t="str">
        <f ca="1">IFERROR(__xludf.DUMMYFUNCTION("""COMPUTED_VALUE"""),"ej876327217th")</f>
        <v>ej876327217th</v>
      </c>
      <c r="D454" s="1" t="str">
        <f ca="1">IFERROR(__xludf.DUMMYFUNCTION("""COMPUTED_VALUE"""),"ทิพย์")</f>
        <v>ทิพย์</v>
      </c>
      <c r="E454" s="1" t="str">
        <f ca="1">IFERROR(__xludf.DUMMYFUNCTION("""COMPUTED_VALUE"""),"081-8287755")</f>
        <v>081-8287755</v>
      </c>
      <c r="F454" s="1" t="str">
        <f ca="1">IFERROR(__xludf.DUMMYFUNCTION("""COMPUTED_VALUE"""),"1703/76 บ้านนันทวรรณ อ่อนนุช 44")</f>
        <v>1703/76 บ้านนันทวรรณ อ่อนนุช 44</v>
      </c>
      <c r="G454" s="1" t="str">
        <f ca="1">IFERROR(__xludf.DUMMYFUNCTION("""COMPUTED_VALUE"""),"ตรวจสอบการนำจ่าย")</f>
        <v>ตรวจสอบการนำจ่าย</v>
      </c>
      <c r="H454" s="1" t="str">
        <f ca="1">IFERROR(__xludf.DUMMYFUNCTION("""COMPUTED_VALUE"""),"-")</f>
        <v>-</v>
      </c>
      <c r="I454" s="1" t="str">
        <f ca="1">IFERROR(__xludf.DUMMYFUNCTION("""COMPUTED_VALUE"""),"-")</f>
        <v>-</v>
      </c>
      <c r="J454" s="1" t="str">
        <f ca="1">IFERROR(__xludf.DUMMYFUNCTION("""COMPUTED_VALUE"""),"DB3")</f>
        <v>DB3</v>
      </c>
      <c r="K454" s="1" t="str">
        <f ca="1">IFERROR(__xludf.DUMMYFUNCTION("""COMPUTED_VALUE"""),"ems10260evd3028")</f>
        <v>ems10260evd3028</v>
      </c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 ht="15.75" customHeight="1" x14ac:dyDescent="0.2">
      <c r="A455" s="8">
        <f ca="1">IFERROR(__xludf.DUMMYFUNCTION("""COMPUTED_VALUE"""),45287.4642576504)</f>
        <v>45287.464257650397</v>
      </c>
      <c r="B455" s="1" t="str">
        <f ca="1">IFERROR(__xludf.DUMMYFUNCTION("""COMPUTED_VALUE"""),"CEC")</f>
        <v>CEC</v>
      </c>
      <c r="C455" s="1" t="str">
        <f ca="1">IFERROR(__xludf.DUMMYFUNCTION("""COMPUTED_VALUE"""),"em429161265th")</f>
        <v>em429161265th</v>
      </c>
      <c r="D455" s="1" t="str">
        <f ca="1">IFERROR(__xludf.DUMMYFUNCTION("""COMPUTED_VALUE"""),"นุชนาฎ")</f>
        <v>นุชนาฎ</v>
      </c>
      <c r="E455" s="1" t="str">
        <f ca="1">IFERROR(__xludf.DUMMYFUNCTION("""COMPUTED_VALUE"""),"092-9168463")</f>
        <v>092-9168463</v>
      </c>
      <c r="F455" s="1" t="str">
        <f ca="1">IFERROR(__xludf.DUMMYFUNCTION("""COMPUTED_VALUE"""),"59/25 ร.ร.สาธิต ฯ อุดมสุข 51 เปรมฟทัย 20")</f>
        <v>59/25 ร.ร.สาธิต ฯ อุดมสุข 51 เปรมฟทัย 20</v>
      </c>
      <c r="G455" s="1" t="str">
        <f ca="1">IFERROR(__xludf.DUMMYFUNCTION("""COMPUTED_VALUE"""),"ตรวจสอบการนำจ่าย")</f>
        <v>ตรวจสอบการนำจ่าย</v>
      </c>
      <c r="H455" s="1" t="str">
        <f ca="1">IFERROR(__xludf.DUMMYFUNCTION("""COMPUTED_VALUE"""),"-")</f>
        <v>-</v>
      </c>
      <c r="I455" s="1" t="str">
        <f ca="1">IFERROR(__xludf.DUMMYFUNCTION("""COMPUTED_VALUE"""),"-")</f>
        <v>-</v>
      </c>
      <c r="J455" s="1" t="str">
        <f ca="1">IFERROR(__xludf.DUMMYFUNCTION("""COMPUTED_VALUE"""),"DB1")</f>
        <v>DB1</v>
      </c>
      <c r="K455" s="1" t="str">
        <f ca="1">IFERROR(__xludf.DUMMYFUNCTION("""COMPUTED_VALUE"""),"ems10260evd1000")</f>
        <v>ems10260evd1000</v>
      </c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 ht="15.75" customHeight="1" x14ac:dyDescent="0.2">
      <c r="A456" s="8">
        <f ca="1">IFERROR(__xludf.DUMMYFUNCTION("""COMPUTED_VALUE"""),45287.5056906365)</f>
        <v>45287.505690636499</v>
      </c>
      <c r="B456" s="1" t="str">
        <f ca="1">IFERROR(__xludf.DUMMYFUNCTION("""COMPUTED_VALUE"""),"CEC")</f>
        <v>CEC</v>
      </c>
      <c r="C456" s="1" t="str">
        <f ca="1">IFERROR(__xludf.DUMMYFUNCTION("""COMPUTED_VALUE"""),"ry711771049th")</f>
        <v>ry711771049th</v>
      </c>
      <c r="D456" s="1" t="str">
        <f ca="1">IFERROR(__xludf.DUMMYFUNCTION("""COMPUTED_VALUE"""),"ชนกภัทร์")</f>
        <v>ชนกภัทร์</v>
      </c>
      <c r="E456" s="1" t="str">
        <f ca="1">IFERROR(__xludf.DUMMYFUNCTION("""COMPUTED_VALUE"""),"096-4360986")</f>
        <v>096-4360986</v>
      </c>
      <c r="F456" s="1" t="str">
        <f ca="1">IFERROR(__xludf.DUMMYFUNCTION("""COMPUTED_VALUE"""),"14 ซอย.สุขุมวิท 62 แยก 17")</f>
        <v>14 ซอย.สุขุมวิท 62 แยก 17</v>
      </c>
      <c r="G456" s="1" t="str">
        <f ca="1">IFERROR(__xludf.DUMMYFUNCTION("""COMPUTED_VALUE"""),"ตรวจสอบการนำจ่าย")</f>
        <v>ตรวจสอบการนำจ่าย</v>
      </c>
      <c r="H456" s="1" t="str">
        <f ca="1">IFERROR(__xludf.DUMMYFUNCTION("""COMPUTED_VALUE"""),"-")</f>
        <v>-</v>
      </c>
      <c r="I456" s="1" t="str">
        <f ca="1">IFERROR(__xludf.DUMMYFUNCTION("""COMPUTED_VALUE"""),"-")</f>
        <v>-</v>
      </c>
      <c r="J456" s="1" t="str">
        <f ca="1">IFERROR(__xludf.DUMMYFUNCTION("""COMPUTED_VALUE"""),"DB4")</f>
        <v>DB4</v>
      </c>
      <c r="K456" s="1" t="str">
        <f ca="1">IFERROR(__xludf.DUMMYFUNCTION("""COMPUTED_VALUE"""),"ems10260evd4011")</f>
        <v>ems10260evd4011</v>
      </c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ht="15.75" customHeight="1" x14ac:dyDescent="0.2">
      <c r="A457" s="8">
        <f ca="1">IFERROR(__xludf.DUMMYFUNCTION("""COMPUTED_VALUE"""),45287.51100228)</f>
        <v>45287.51100228</v>
      </c>
      <c r="B457" s="1" t="str">
        <f ca="1">IFERROR(__xludf.DUMMYFUNCTION("""COMPUTED_VALUE"""),"CEC")</f>
        <v>CEC</v>
      </c>
      <c r="C457" s="1" t="str">
        <f ca="1">IFERROR(__xludf.DUMMYFUNCTION("""COMPUTED_VALUE"""),"ef358787859th")</f>
        <v>ef358787859th</v>
      </c>
      <c r="D457" s="1" t="str">
        <f ca="1">IFERROR(__xludf.DUMMYFUNCTION("""COMPUTED_VALUE"""),"พรนิชา")</f>
        <v>พรนิชา</v>
      </c>
      <c r="E457" s="1" t="str">
        <f ca="1">IFERROR(__xludf.DUMMYFUNCTION("""COMPUTED_VALUE"""),"065-5311738")</f>
        <v>065-5311738</v>
      </c>
      <c r="F457" s="1" t="str">
        <f ca="1">IFERROR(__xludf.DUMMYFUNCTION("""COMPUTED_VALUE"""),"174/38 แฟลตทหารเรือ 11 สรรพาวุธ")</f>
        <v>174/38 แฟลตทหารเรือ 11 สรรพาวุธ</v>
      </c>
      <c r="G457" s="1" t="str">
        <f ca="1">IFERROR(__xludf.DUMMYFUNCTION("""COMPUTED_VALUE"""),"ตรวจสอบการนำจ่าย")</f>
        <v>ตรวจสอบการนำจ่าย</v>
      </c>
      <c r="H457" s="1" t="str">
        <f ca="1">IFERROR(__xludf.DUMMYFUNCTION("""COMPUTED_VALUE"""),"-")</f>
        <v>-</v>
      </c>
      <c r="I457" s="1" t="str">
        <f ca="1">IFERROR(__xludf.DUMMYFUNCTION("""COMPUTED_VALUE"""),"-")</f>
        <v>-</v>
      </c>
      <c r="J457" s="1" t="str">
        <f ca="1">IFERROR(__xludf.DUMMYFUNCTION("""COMPUTED_VALUE"""),"นำจ่ายรถยนต์")</f>
        <v>นำจ่ายรถยนต์</v>
      </c>
      <c r="K457" s="1" t="str">
        <f ca="1">IFERROR(__xludf.DUMMYFUNCTION("""COMPUTED_VALUE"""),"car10260evd5004")</f>
        <v>car10260evd5004</v>
      </c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 ht="15.75" customHeight="1" x14ac:dyDescent="0.2">
      <c r="A458" s="8">
        <f ca="1">IFERROR(__xludf.DUMMYFUNCTION("""COMPUTED_VALUE"""),45287.5131717708)</f>
        <v>45287.513171770799</v>
      </c>
      <c r="B458" s="1" t="str">
        <f ca="1">IFERROR(__xludf.DUMMYFUNCTION("""COMPUTED_VALUE"""),"CEC")</f>
        <v>CEC</v>
      </c>
      <c r="C458" s="1" t="str">
        <f ca="1">IFERROR(__xludf.DUMMYFUNCTION("""COMPUTED_VALUE"""),"eb958378762th")</f>
        <v>eb958378762th</v>
      </c>
      <c r="D458" s="1" t="str">
        <f ca="1">IFERROR(__xludf.DUMMYFUNCTION("""COMPUTED_VALUE"""),"พรรณราย")</f>
        <v>พรรณราย</v>
      </c>
      <c r="E458" s="1" t="str">
        <f ca="1">IFERROR(__xludf.DUMMYFUNCTION("""COMPUTED_VALUE"""),"065-5311738")</f>
        <v>065-5311738</v>
      </c>
      <c r="F458" s="1" t="str">
        <f ca="1">IFERROR(__xludf.DUMMYFUNCTION("""COMPUTED_VALUE"""),"1278/18 คอนโดลุมพินี ตึก เอ สุขุมวิท 101/1")</f>
        <v>1278/18 คอนโดลุมพินี ตึก เอ สุขุมวิท 101/1</v>
      </c>
      <c r="G458" s="1" t="str">
        <f ca="1">IFERROR(__xludf.DUMMYFUNCTION("""COMPUTED_VALUE"""),"ตรวจสอบการนำจ่าย")</f>
        <v>ตรวจสอบการนำจ่าย</v>
      </c>
      <c r="H458" s="1" t="str">
        <f ca="1">IFERROR(__xludf.DUMMYFUNCTION("""COMPUTED_VALUE"""),"ขอมารับเอง")</f>
        <v>ขอมารับเอง</v>
      </c>
      <c r="I458" s="1" t="str">
        <f ca="1">IFERROR(__xludf.DUMMYFUNCTION("""COMPUTED_VALUE"""),"-")</f>
        <v>-</v>
      </c>
      <c r="J458" s="1" t="str">
        <f ca="1">IFERROR(__xludf.DUMMYFUNCTION("""COMPUTED_VALUE"""),"DB3")</f>
        <v>DB3</v>
      </c>
      <c r="K458" s="1" t="str">
        <f ca="1">IFERROR(__xludf.DUMMYFUNCTION("""COMPUTED_VALUE"""),"ems10260evd3035")</f>
        <v>ems10260evd3035</v>
      </c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 ht="15.75" customHeight="1" x14ac:dyDescent="0.2">
      <c r="A459" s="8">
        <f ca="1">IFERROR(__xludf.DUMMYFUNCTION("""COMPUTED_VALUE"""),45288.4571185069)</f>
        <v>45288.4571185069</v>
      </c>
      <c r="B459" s="1" t="str">
        <f ca="1">IFERROR(__xludf.DUMMYFUNCTION("""COMPUTED_VALUE"""),"CEC")</f>
        <v>CEC</v>
      </c>
      <c r="C459" s="1" t="str">
        <f ca="1">IFERROR(__xludf.DUMMYFUNCTION("""COMPUTED_VALUE"""),"ej895606789th")</f>
        <v>ej895606789th</v>
      </c>
      <c r="D459" s="1" t="str">
        <f ca="1">IFERROR(__xludf.DUMMYFUNCTION("""COMPUTED_VALUE"""),"ภรต")</f>
        <v>ภรต</v>
      </c>
      <c r="E459" s="1" t="str">
        <f ca="1">IFERROR(__xludf.DUMMYFUNCTION("""COMPUTED_VALUE"""),"095-8213780")</f>
        <v>095-8213780</v>
      </c>
      <c r="F459" s="1" t="str">
        <f ca="1">IFERROR(__xludf.DUMMYFUNCTION("""COMPUTED_VALUE"""),"53 โรงงานสตาร์แมคคาทอนิค ซ.ลาซาน 34")</f>
        <v>53 โรงงานสตาร์แมคคาทอนิค ซ.ลาซาน 34</v>
      </c>
      <c r="G459" s="1" t="str">
        <f ca="1">IFERROR(__xludf.DUMMYFUNCTION("""COMPUTED_VALUE"""),"ตรวจสอบการนำจ่าย")</f>
        <v>ตรวจสอบการนำจ่าย</v>
      </c>
      <c r="H459" s="1" t="str">
        <f ca="1">IFERROR(__xludf.DUMMYFUNCTION("""COMPUTED_VALUE"""),"-")</f>
        <v>-</v>
      </c>
      <c r="I459" s="1" t="str">
        <f ca="1">IFERROR(__xludf.DUMMYFUNCTION("""COMPUTED_VALUE"""),"-")</f>
        <v>-</v>
      </c>
      <c r="J459" s="1" t="str">
        <f ca="1">IFERROR(__xludf.DUMMYFUNCTION("""COMPUTED_VALUE"""),"DB1")</f>
        <v>DB1</v>
      </c>
      <c r="K459" s="1" t="str">
        <f ca="1">IFERROR(__xludf.DUMMYFUNCTION("""COMPUTED_VALUE"""),"ema10260evd1015")</f>
        <v>ema10260evd1015</v>
      </c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 ht="15.75" customHeight="1" x14ac:dyDescent="0.2">
      <c r="A460" s="8">
        <f ca="1">IFERROR(__xludf.DUMMYFUNCTION("""COMPUTED_VALUE"""),45288.459388912)</f>
        <v>45288.459388912001</v>
      </c>
      <c r="B460" s="1" t="str">
        <f ca="1">IFERROR(__xludf.DUMMYFUNCTION("""COMPUTED_VALUE"""),"CEC")</f>
        <v>CEC</v>
      </c>
      <c r="C460" s="1" t="str">
        <f ca="1">IFERROR(__xludf.DUMMYFUNCTION("""COMPUTED_VALUE"""),"ef358182818th")</f>
        <v>ef358182818th</v>
      </c>
      <c r="D460" s="1" t="str">
        <f ca="1">IFERROR(__xludf.DUMMYFUNCTION("""COMPUTED_VALUE"""),"วรรณธนา")</f>
        <v>วรรณธนา</v>
      </c>
      <c r="E460" s="1" t="str">
        <f ca="1">IFERROR(__xludf.DUMMYFUNCTION("""COMPUTED_VALUE"""),"080-92887882")</f>
        <v>080-92887882</v>
      </c>
      <c r="F460" s="1" t="str">
        <f ca="1">IFERROR(__xludf.DUMMYFUNCTION("""COMPUTED_VALUE"""),"172/11 แฟลตทหารเรือ อาคาร 11 สรรพาวุธ")</f>
        <v>172/11 แฟลตทหารเรือ อาคาร 11 สรรพาวุธ</v>
      </c>
      <c r="G460" s="1" t="str">
        <f ca="1">IFERROR(__xludf.DUMMYFUNCTION("""COMPUTED_VALUE"""),"ตรวจสอบการนำจ่าย")</f>
        <v>ตรวจสอบการนำจ่าย</v>
      </c>
      <c r="H460" s="1" t="str">
        <f ca="1">IFERROR(__xludf.DUMMYFUNCTION("""COMPUTED_VALUE"""),"-")</f>
        <v>-</v>
      </c>
      <c r="I460" s="1" t="str">
        <f ca="1">IFERROR(__xludf.DUMMYFUNCTION("""COMPUTED_VALUE"""),"-")</f>
        <v>-</v>
      </c>
      <c r="J460" s="1" t="str">
        <f ca="1">IFERROR(__xludf.DUMMYFUNCTION("""COMPUTED_VALUE"""),"นำจ่ายรถยนต์")</f>
        <v>นำจ่ายรถยนต์</v>
      </c>
      <c r="K460" s="1" t="str">
        <f ca="1">IFERROR(__xludf.DUMMYFUNCTION("""COMPUTED_VALUE"""),"car10260evd5003")</f>
        <v>car10260evd5003</v>
      </c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 ht="15.75" customHeight="1" x14ac:dyDescent="0.2">
      <c r="A461" s="8">
        <f ca="1">IFERROR(__xludf.DUMMYFUNCTION("""COMPUTED_VALUE"""),45288.4605688657)</f>
        <v>45288.460568865703</v>
      </c>
      <c r="B461" s="1" t="str">
        <f ca="1">IFERROR(__xludf.DUMMYFUNCTION("""COMPUTED_VALUE"""),"CEC")</f>
        <v>CEC</v>
      </c>
      <c r="C461" s="1" t="str">
        <f ca="1">IFERROR(__xludf.DUMMYFUNCTION("""COMPUTED_VALUE"""),"em423671835th")</f>
        <v>em423671835th</v>
      </c>
      <c r="D461" s="1" t="str">
        <f ca="1">IFERROR(__xludf.DUMMYFUNCTION("""COMPUTED_VALUE"""),"สุดาวรรณ")</f>
        <v>สุดาวรรณ</v>
      </c>
      <c r="E461" s="1" t="str">
        <f ca="1">IFERROR(__xludf.DUMMYFUNCTION("""COMPUTED_VALUE"""),"096-8590332")</f>
        <v>096-8590332</v>
      </c>
      <c r="F461" s="1" t="str">
        <f ca="1">IFERROR(__xludf.DUMMYFUNCTION("""COMPUTED_VALUE"""),"3 ซอย.สุขมวิท 93 ตึกแถวปากซอย")</f>
        <v>3 ซอย.สุขมวิท 93 ตึกแถวปากซอย</v>
      </c>
      <c r="G461" s="1" t="str">
        <f ca="1">IFERROR(__xludf.DUMMYFUNCTION("""COMPUTED_VALUE"""),"นำจ่ายใหม่")</f>
        <v>นำจ่ายใหม่</v>
      </c>
      <c r="H461" s="1" t="str">
        <f ca="1">IFERROR(__xludf.DUMMYFUNCTION("""COMPUTED_VALUE"""),"-")</f>
        <v>-</v>
      </c>
      <c r="I461" s="1" t="str">
        <f ca="1">IFERROR(__xludf.DUMMYFUNCTION("""COMPUTED_VALUE"""),"-")</f>
        <v>-</v>
      </c>
      <c r="J461" s="1" t="str">
        <f ca="1">IFERROR(__xludf.DUMMYFUNCTION("""COMPUTED_VALUE"""),"นำจ่ายรถยนต์")</f>
        <v>นำจ่ายรถยนต์</v>
      </c>
      <c r="K461" s="1" t="str">
        <f ca="1">IFERROR(__xludf.DUMMYFUNCTION("""COMPUTED_VALUE"""),"car10260evd5013")</f>
        <v>car10260evd5013</v>
      </c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 ht="15.75" customHeight="1" x14ac:dyDescent="0.2">
      <c r="A462" s="8">
        <f ca="1">IFERROR(__xludf.DUMMYFUNCTION("""COMPUTED_VALUE"""),45288.4619801504)</f>
        <v>45288.461980150401</v>
      </c>
      <c r="B462" s="1" t="str">
        <f ca="1">IFERROR(__xludf.DUMMYFUNCTION("""COMPUTED_VALUE"""),"CEC")</f>
        <v>CEC</v>
      </c>
      <c r="C462" s="1" t="str">
        <f ca="1">IFERROR(__xludf.DUMMYFUNCTION("""COMPUTED_VALUE"""),"rn162708928th")</f>
        <v>rn162708928th</v>
      </c>
      <c r="D462" s="1" t="str">
        <f ca="1">IFERROR(__xludf.DUMMYFUNCTION("""COMPUTED_VALUE"""),"ประทวนทอง (พ่อ)")</f>
        <v>ประทวนทอง (พ่อ)</v>
      </c>
      <c r="E462" s="1" t="str">
        <f ca="1">IFERROR(__xludf.DUMMYFUNCTION("""COMPUTED_VALUE"""),"081-6589446 (ลูกสาว)")</f>
        <v>081-6589446 (ลูกสาว)</v>
      </c>
      <c r="F462" s="1" t="str">
        <f ca="1">IFERROR(__xludf.DUMMYFUNCTION("""COMPUTED_VALUE"""),"114/4 เมราโดอพาร์ทมเนท์ ซ.พึ่งมี11 ซ.93")</f>
        <v>114/4 เมราโดอพาร์ทมเนท์ ซ.พึ่งมี11 ซ.93</v>
      </c>
      <c r="G462" s="1" t="str">
        <f ca="1">IFERROR(__xludf.DUMMYFUNCTION("""COMPUTED_VALUE"""),"นำจ่ายใหม่")</f>
        <v>นำจ่ายใหม่</v>
      </c>
      <c r="H462" s="1" t="str">
        <f ca="1">IFERROR(__xludf.DUMMYFUNCTION("""COMPUTED_VALUE"""),"ออกใบแจ้ง")</f>
        <v>ออกใบแจ้ง</v>
      </c>
      <c r="I462" s="1" t="str">
        <f ca="1">IFERROR(__xludf.DUMMYFUNCTION("""COMPUTED_VALUE"""),"-")</f>
        <v>-</v>
      </c>
      <c r="J462" s="1" t="str">
        <f ca="1">IFERROR(__xludf.DUMMYFUNCTION("""COMPUTED_VALUE"""),"DB3")</f>
        <v>DB3</v>
      </c>
      <c r="K462" s="1" t="str">
        <f ca="1">IFERROR(__xludf.DUMMYFUNCTION("""COMPUTED_VALUE"""),"ems10260evd3004")</f>
        <v>ems10260evd3004</v>
      </c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 ht="15.75" customHeight="1" x14ac:dyDescent="0.2">
      <c r="A463" s="8">
        <f ca="1">IFERROR(__xludf.DUMMYFUNCTION("""COMPUTED_VALUE"""),45288.4710988078)</f>
        <v>45288.4710988078</v>
      </c>
      <c r="B463" s="1" t="str">
        <f ca="1">IFERROR(__xludf.DUMMYFUNCTION("""COMPUTED_VALUE"""),"CEC")</f>
        <v>CEC</v>
      </c>
      <c r="C463" s="1" t="str">
        <f ca="1">IFERROR(__xludf.DUMMYFUNCTION("""COMPUTED_VALUE"""),"ey776175085th")</f>
        <v>ey776175085th</v>
      </c>
      <c r="D463" s="1" t="str">
        <f ca="1">IFERROR(__xludf.DUMMYFUNCTION("""COMPUTED_VALUE"""),"ประทวนทอง (พ่อ)")</f>
        <v>ประทวนทอง (พ่อ)</v>
      </c>
      <c r="E463" s="1" t="str">
        <f ca="1">IFERROR(__xludf.DUMMYFUNCTION("""COMPUTED_VALUE"""),"081-6589446 (ลูกสาว)")</f>
        <v>081-6589446 (ลูกสาว)</v>
      </c>
      <c r="F463" s="1" t="str">
        <f ca="1">IFERROR(__xludf.DUMMYFUNCTION("""COMPUTED_VALUE"""),"114/4 เมราโดอพาร์ทเมนท์ ซ.พึ่งมี 11 ซ.93")</f>
        <v>114/4 เมราโดอพาร์ทเมนท์ ซ.พึ่งมี 11 ซ.93</v>
      </c>
      <c r="G463" s="1" t="str">
        <f ca="1">IFERROR(__xludf.DUMMYFUNCTION("""COMPUTED_VALUE"""),"นำจ่ายใหม่")</f>
        <v>นำจ่ายใหม่</v>
      </c>
      <c r="H463" s="1" t="str">
        <f ca="1">IFERROR(__xludf.DUMMYFUNCTION("""COMPUTED_VALUE"""),"ออกใบแจ้ง")</f>
        <v>ออกใบแจ้ง</v>
      </c>
      <c r="I463" s="1" t="str">
        <f ca="1">IFERROR(__xludf.DUMMYFUNCTION("""COMPUTED_VALUE"""),"-")</f>
        <v>-</v>
      </c>
      <c r="J463" s="1" t="str">
        <f ca="1">IFERROR(__xludf.DUMMYFUNCTION("""COMPUTED_VALUE"""),"DB3")</f>
        <v>DB3</v>
      </c>
      <c r="K463" s="1" t="str">
        <f ca="1">IFERROR(__xludf.DUMMYFUNCTION("""COMPUTED_VALUE"""),"ems10260evd3004")</f>
        <v>ems10260evd3004</v>
      </c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 ht="15.75" customHeight="1" x14ac:dyDescent="0.2">
      <c r="A464" s="8">
        <f ca="1">IFERROR(__xludf.DUMMYFUNCTION("""COMPUTED_VALUE"""),45288.5236127662)</f>
        <v>45288.523612766199</v>
      </c>
      <c r="B464" s="1" t="str">
        <f ca="1">IFERROR(__xludf.DUMMYFUNCTION("""COMPUTED_VALUE"""),"On Queue")</f>
        <v>On Queue</v>
      </c>
      <c r="C464" s="1" t="str">
        <f ca="1">IFERROR(__xludf.DUMMYFUNCTION("""COMPUTED_VALUE"""),"ea822233216th")</f>
        <v>ea822233216th</v>
      </c>
      <c r="D464" s="1" t="str">
        <f ca="1">IFERROR(__xludf.DUMMYFUNCTION("""COMPUTED_VALUE"""),"พจักรณนา")</f>
        <v>พจักรณนา</v>
      </c>
      <c r="E464" s="1" t="str">
        <f ca="1">IFERROR(__xludf.DUMMYFUNCTION("""COMPUTED_VALUE"""),"093-2388951")</f>
        <v>093-2388951</v>
      </c>
      <c r="F464" s="1" t="str">
        <f ca="1">IFERROR(__xludf.DUMMYFUNCTION("""COMPUTED_VALUE"""),"545 อพาร์ทเมนท์ศิลวัฒน์ สรรพาวุธ")</f>
        <v>545 อพาร์ทเมนท์ศิลวัฒน์ สรรพาวุธ</v>
      </c>
      <c r="G464" s="1" t="str">
        <f ca="1">IFERROR(__xludf.DUMMYFUNCTION("""COMPUTED_VALUE"""),"ตรวจสอบการนำจ่าย")</f>
        <v>ตรวจสอบการนำจ่าย</v>
      </c>
      <c r="H464" s="1" t="str">
        <f ca="1">IFERROR(__xludf.DUMMYFUNCTION("""COMPUTED_VALUE"""),"COD. 890 บาท")</f>
        <v>COD. 890 บาท</v>
      </c>
      <c r="I464" s="1" t="str">
        <f ca="1">IFERROR(__xludf.DUMMYFUNCTION("""COMPUTED_VALUE"""),"-")</f>
        <v>-</v>
      </c>
      <c r="J464" s="1" t="str">
        <f ca="1">IFERROR(__xludf.DUMMYFUNCTION("""COMPUTED_VALUE"""),"DB1")</f>
        <v>DB1</v>
      </c>
      <c r="K464" s="1" t="str">
        <f ca="1">IFERROR(__xludf.DUMMYFUNCTION("""COMPUTED_VALUE"""),"ems10260evd1001")</f>
        <v>ems10260evd1001</v>
      </c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 ht="15.75" customHeight="1" x14ac:dyDescent="0.2">
      <c r="A465" s="8">
        <f ca="1">IFERROR(__xludf.DUMMYFUNCTION("""COMPUTED_VALUE"""),45288.5247728009)</f>
        <v>45288.524772800898</v>
      </c>
      <c r="B465" s="1" t="str">
        <f ca="1">IFERROR(__xludf.DUMMYFUNCTION("""COMPUTED_VALUE"""),"CEC")</f>
        <v>CEC</v>
      </c>
      <c r="C465" s="1" t="str">
        <f ca="1">IFERROR(__xludf.DUMMYFUNCTION("""COMPUTED_VALUE"""),"em296582668th")</f>
        <v>em296582668th</v>
      </c>
      <c r="D465" s="1" t="str">
        <f ca="1">IFERROR(__xludf.DUMMYFUNCTION("""COMPUTED_VALUE"""),"สมศักดิ์")</f>
        <v>สมศักดิ์</v>
      </c>
      <c r="E465" s="1" t="str">
        <f ca="1">IFERROR(__xludf.DUMMYFUNCTION("""COMPUTED_VALUE"""),"084-7729848")</f>
        <v>084-7729848</v>
      </c>
      <c r="F465" s="1" t="str">
        <f ca="1">IFERROR(__xludf.DUMMYFUNCTION("""COMPUTED_VALUE"""),"241 ร้านกาแฟ ซ.สุขุมวิท 66/1")</f>
        <v>241 ร้านกาแฟ ซ.สุขุมวิท 66/1</v>
      </c>
      <c r="G465" s="1" t="str">
        <f ca="1">IFERROR(__xludf.DUMMYFUNCTION("""COMPUTED_VALUE"""),"ตรวจสอบการนำจ่าย")</f>
        <v>ตรวจสอบการนำจ่าย</v>
      </c>
      <c r="H465" s="1" t="str">
        <f ca="1">IFERROR(__xludf.DUMMYFUNCTION("""COMPUTED_VALUE"""),"COD.1200 บาท")</f>
        <v>COD.1200 บาท</v>
      </c>
      <c r="I465" s="1" t="str">
        <f ca="1">IFERROR(__xludf.DUMMYFUNCTION("""COMPUTED_VALUE"""),"-")</f>
        <v>-</v>
      </c>
      <c r="J465" s="1" t="str">
        <f ca="1">IFERROR(__xludf.DUMMYFUNCTION("""COMPUTED_VALUE"""),"DB2")</f>
        <v>DB2</v>
      </c>
      <c r="K465" s="1" t="str">
        <f ca="1">IFERROR(__xludf.DUMMYFUNCTION("""COMPUTED_VALUE"""),"ำทห10260ำอก2004")</f>
        <v>ำทห10260ำอก2004</v>
      </c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 ht="15.75" customHeight="1" x14ac:dyDescent="0.2">
      <c r="A466" s="8">
        <f ca="1">IFERROR(__xludf.DUMMYFUNCTION("""COMPUTED_VALUE"""),45288.59038603)</f>
        <v>45288.590386030002</v>
      </c>
      <c r="B466" s="1" t="str">
        <f ca="1">IFERROR(__xludf.DUMMYFUNCTION("""COMPUTED_VALUE"""),"CEC")</f>
        <v>CEC</v>
      </c>
      <c r="C466" s="1" t="str">
        <f ca="1">IFERROR(__xludf.DUMMYFUNCTION("""COMPUTED_VALUE"""),"ri888434054th")</f>
        <v>ri888434054th</v>
      </c>
      <c r="D466" s="1" t="str">
        <f ca="1">IFERROR(__xludf.DUMMYFUNCTION("""COMPUTED_VALUE"""),"เกียรติติศักดิ์")</f>
        <v>เกียรติติศักดิ์</v>
      </c>
      <c r="E466" s="1" t="str">
        <f ca="1">IFERROR(__xludf.DUMMYFUNCTION("""COMPUTED_VALUE"""),"084-2990239")</f>
        <v>084-2990239</v>
      </c>
      <c r="F466" s="1" t="str">
        <f ca="1">IFERROR(__xludf.DUMMYFUNCTION("""COMPUTED_VALUE"""),"148/11 แฟลตทหารเรือบางนา สรรพาวุธ")</f>
        <v>148/11 แฟลตทหารเรือบางนา สรรพาวุธ</v>
      </c>
      <c r="G466" s="1" t="str">
        <f ca="1">IFERROR(__xludf.DUMMYFUNCTION("""COMPUTED_VALUE"""),"ตรวจสอบการนำจ่าย")</f>
        <v>ตรวจสอบการนำจ่าย</v>
      </c>
      <c r="H466" s="1" t="str">
        <f ca="1">IFERROR(__xludf.DUMMYFUNCTION("""COMPUTED_VALUE"""),"-")</f>
        <v>-</v>
      </c>
      <c r="I466" s="1"/>
      <c r="J466" s="1" t="str">
        <f ca="1">IFERROR(__xludf.DUMMYFUNCTION("""COMPUTED_VALUE"""),"นำจ่ายรถยนต์")</f>
        <v>นำจ่ายรถยนต์</v>
      </c>
      <c r="K466" s="1" t="str">
        <f ca="1">IFERROR(__xludf.DUMMYFUNCTION("""COMPUTED_VALUE"""),"car10260evd5004")</f>
        <v>car10260evd5004</v>
      </c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 ht="15.75" customHeight="1" x14ac:dyDescent="0.2">
      <c r="A467" s="8">
        <f ca="1">IFERROR(__xludf.DUMMYFUNCTION("""COMPUTED_VALUE"""),45288.6108066435)</f>
        <v>45288.610806643497</v>
      </c>
      <c r="B467" s="1" t="str">
        <f ca="1">IFERROR(__xludf.DUMMYFUNCTION("""COMPUTED_VALUE"""),"CEC")</f>
        <v>CEC</v>
      </c>
      <c r="C467" s="1" t="str">
        <f ca="1">IFERROR(__xludf.DUMMYFUNCTION("""COMPUTED_VALUE"""),"em099542472th")</f>
        <v>em099542472th</v>
      </c>
      <c r="D467" s="1" t="str">
        <f ca="1">IFERROR(__xludf.DUMMYFUNCTION("""COMPUTED_VALUE"""),"พิษณุ")</f>
        <v>พิษณุ</v>
      </c>
      <c r="E467" s="1" t="str">
        <f ca="1">IFERROR(__xludf.DUMMYFUNCTION("""COMPUTED_VALUE"""),"062-2912988")</f>
        <v>062-2912988</v>
      </c>
      <c r="F467" s="1" t="str">
        <f ca="1">IFERROR(__xludf.DUMMYFUNCTION("""COMPUTED_VALUE"""),"23 ซอย.ลาซาน 17 สุขุมวิท 105")</f>
        <v>23 ซอย.ลาซาน 17 สุขุมวิท 105</v>
      </c>
      <c r="G467" s="1" t="str">
        <f ca="1">IFERROR(__xludf.DUMMYFUNCTION("""COMPUTED_VALUE"""),"ตรวจสอบการนำจ่าย")</f>
        <v>ตรวจสอบการนำจ่าย</v>
      </c>
      <c r="H467" s="1" t="str">
        <f ca="1">IFERROR(__xludf.DUMMYFUNCTION("""COMPUTED_VALUE"""),"-")</f>
        <v>-</v>
      </c>
      <c r="I467" s="1" t="str">
        <f ca="1">IFERROR(__xludf.DUMMYFUNCTION("""COMPUTED_VALUE"""),"-")</f>
        <v>-</v>
      </c>
      <c r="J467" s="1" t="str">
        <f ca="1">IFERROR(__xludf.DUMMYFUNCTION("""COMPUTED_VALUE"""),"DB1")</f>
        <v>DB1</v>
      </c>
      <c r="K467" s="1" t="str">
        <f ca="1">IFERROR(__xludf.DUMMYFUNCTION("""COMPUTED_VALUE"""),"ems10260evd1021")</f>
        <v>ems10260evd1021</v>
      </c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 ht="15.75" customHeight="1" x14ac:dyDescent="0.2">
      <c r="A468" s="8">
        <f ca="1">IFERROR(__xludf.DUMMYFUNCTION("""COMPUTED_VALUE"""),45288.637851956)</f>
        <v>45288.637851956002</v>
      </c>
      <c r="B468" s="1" t="str">
        <f ca="1">IFERROR(__xludf.DUMMYFUNCTION("""COMPUTED_VALUE"""),"CEC")</f>
        <v>CEC</v>
      </c>
      <c r="C468" s="1" t="str">
        <f ca="1">IFERROR(__xludf.DUMMYFUNCTION("""COMPUTED_VALUE"""),"ri888434054th")</f>
        <v>ri888434054th</v>
      </c>
      <c r="D468" s="1" t="str">
        <f ca="1">IFERROR(__xludf.DUMMYFUNCTION("""COMPUTED_VALUE"""),"เกียรติติศักดิ์")</f>
        <v>เกียรติติศักดิ์</v>
      </c>
      <c r="E468" s="1" t="str">
        <f ca="1">IFERROR(__xludf.DUMMYFUNCTION("""COMPUTED_VALUE"""),"084-2990239")</f>
        <v>084-2990239</v>
      </c>
      <c r="F468" s="1" t="str">
        <f ca="1">IFERROR(__xludf.DUMMYFUNCTION("""COMPUTED_VALUE"""),"148/11 แฟลตทหารเรือบางนา สรรพาวุธ")</f>
        <v>148/11 แฟลตทหารเรือบางนา สรรพาวุธ</v>
      </c>
      <c r="G468" s="1" t="str">
        <f ca="1">IFERROR(__xludf.DUMMYFUNCTION("""COMPUTED_VALUE"""),"ตรวจสอบการนำจ่าย")</f>
        <v>ตรวจสอบการนำจ่าย</v>
      </c>
      <c r="H468" s="1" t="str">
        <f ca="1">IFERROR(__xludf.DUMMYFUNCTION("""COMPUTED_VALUE"""),"-")</f>
        <v>-</v>
      </c>
      <c r="I468" s="1" t="str">
        <f ca="1">IFERROR(__xludf.DUMMYFUNCTION("""COMPUTED_VALUE"""),"-")</f>
        <v>-</v>
      </c>
      <c r="J468" s="1" t="str">
        <f ca="1">IFERROR(__xludf.DUMMYFUNCTION("""COMPUTED_VALUE"""),"นำจ่ายรถยนต์")</f>
        <v>นำจ่ายรถยนต์</v>
      </c>
      <c r="K468" s="1" t="str">
        <f ca="1">IFERROR(__xludf.DUMMYFUNCTION("""COMPUTED_VALUE"""),"car10260evd5004")</f>
        <v>car10260evd5004</v>
      </c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 ht="15.75" customHeight="1" x14ac:dyDescent="0.2">
      <c r="A469" s="8">
        <f ca="1">IFERROR(__xludf.DUMMYFUNCTION("""COMPUTED_VALUE"""),45288.6393317013)</f>
        <v>45288.639331701299</v>
      </c>
      <c r="B469" s="1" t="str">
        <f ca="1">IFERROR(__xludf.DUMMYFUNCTION("""COMPUTED_VALUE"""),"CEC")</f>
        <v>CEC</v>
      </c>
      <c r="C469" s="1" t="str">
        <f ca="1">IFERROR(__xludf.DUMMYFUNCTION("""COMPUTED_VALUE"""),"em099542472th")</f>
        <v>em099542472th</v>
      </c>
      <c r="D469" s="1" t="str">
        <f ca="1">IFERROR(__xludf.DUMMYFUNCTION("""COMPUTED_VALUE"""),"ณิชชาภัทร์")</f>
        <v>ณิชชาภัทร์</v>
      </c>
      <c r="E469" s="1" t="str">
        <f ca="1">IFERROR(__xludf.DUMMYFUNCTION("""COMPUTED_VALUE"""),"083-1204120")</f>
        <v>083-1204120</v>
      </c>
      <c r="F469" s="1" t="str">
        <f ca="1">IFERROR(__xludf.DUMMYFUNCTION("""COMPUTED_VALUE"""),"1อ.แฮนเดิลอินเตอร์ กรุ๊ป บางนา ตราด21 แยก9-11")</f>
        <v>1อ.แฮนเดิลอินเตอร์ กรุ๊ป บางนา ตราด21 แยก9-11</v>
      </c>
      <c r="G469" s="1" t="str">
        <f ca="1">IFERROR(__xludf.DUMMYFUNCTION("""COMPUTED_VALUE"""),"ตรวจสอบการนำจ่าย")</f>
        <v>ตรวจสอบการนำจ่าย</v>
      </c>
      <c r="H469" s="1" t="str">
        <f ca="1">IFERROR(__xludf.DUMMYFUNCTION("""COMPUTED_VALUE"""),"mail")</f>
        <v>mail</v>
      </c>
      <c r="I469" s="1" t="str">
        <f ca="1">IFERROR(__xludf.DUMMYFUNCTION("""COMPUTED_VALUE"""),"-")</f>
        <v>-</v>
      </c>
      <c r="J469" s="1" t="str">
        <f ca="1">IFERROR(__xludf.DUMMYFUNCTION("""COMPUTED_VALUE"""),"DB2")</f>
        <v>DB2</v>
      </c>
      <c r="K469" s="1" t="str">
        <f ca="1">IFERROR(__xludf.DUMMYFUNCTION("""COMPUTED_VALUE"""),"ems10260evd2001")</f>
        <v>ems10260evd2001</v>
      </c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 ht="15.75" customHeight="1" x14ac:dyDescent="0.2">
      <c r="A470" s="8">
        <f ca="1">IFERROR(__xludf.DUMMYFUNCTION("""COMPUTED_VALUE"""),45288.6404909259)</f>
        <v>45288.6404909259</v>
      </c>
      <c r="B470" s="1" t="str">
        <f ca="1">IFERROR(__xludf.DUMMYFUNCTION("""COMPUTED_VALUE"""),"CEC")</f>
        <v>CEC</v>
      </c>
      <c r="C470" s="1" t="str">
        <f ca="1">IFERROR(__xludf.DUMMYFUNCTION("""COMPUTED_VALUE"""),"em099542472th")</f>
        <v>em099542472th</v>
      </c>
      <c r="D470" s="1" t="str">
        <f ca="1">IFERROR(__xludf.DUMMYFUNCTION("""COMPUTED_VALUE"""),"พิษณุ")</f>
        <v>พิษณุ</v>
      </c>
      <c r="E470" s="1" t="str">
        <f ca="1">IFERROR(__xludf.DUMMYFUNCTION("""COMPUTED_VALUE"""),"062-2912988")</f>
        <v>062-2912988</v>
      </c>
      <c r="F470" s="1" t="str">
        <f ca="1">IFERROR(__xludf.DUMMYFUNCTION("""COMPUTED_VALUE"""),"23 ซอย.ลาซาน 17 สุขุมวิท 105")</f>
        <v>23 ซอย.ลาซาน 17 สุขุมวิท 105</v>
      </c>
      <c r="G470" s="1" t="str">
        <f ca="1">IFERROR(__xludf.DUMMYFUNCTION("""COMPUTED_VALUE"""),"ตรวจสอบการนำจ่าย")</f>
        <v>ตรวจสอบการนำจ่าย</v>
      </c>
      <c r="H470" s="1" t="str">
        <f ca="1">IFERROR(__xludf.DUMMYFUNCTION("""COMPUTED_VALUE"""),"-")</f>
        <v>-</v>
      </c>
      <c r="I470" s="1" t="str">
        <f ca="1">IFERROR(__xludf.DUMMYFUNCTION("""COMPUTED_VALUE"""),"-")</f>
        <v>-</v>
      </c>
      <c r="J470" s="1" t="str">
        <f ca="1">IFERROR(__xludf.DUMMYFUNCTION("""COMPUTED_VALUE"""),"DB1")</f>
        <v>DB1</v>
      </c>
      <c r="K470" s="1" t="str">
        <f ca="1">IFERROR(__xludf.DUMMYFUNCTION("""COMPUTED_VALUE"""),"ems10260evd1005")</f>
        <v>ems10260evd1005</v>
      </c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 ht="15.75" customHeight="1" x14ac:dyDescent="0.2">
      <c r="A471" s="8">
        <f ca="1">IFERROR(__xludf.DUMMYFUNCTION("""COMPUTED_VALUE"""),45288.6422237037)</f>
        <v>45288.642223703697</v>
      </c>
      <c r="B471" s="1" t="str">
        <f ca="1">IFERROR(__xludf.DUMMYFUNCTION("""COMPUTED_VALUE"""),"CEC")</f>
        <v>CEC</v>
      </c>
      <c r="C471" s="1" t="str">
        <f ca="1">IFERROR(__xludf.DUMMYFUNCTION("""COMPUTED_VALUE"""),"ej897904476th")</f>
        <v>ej897904476th</v>
      </c>
      <c r="D471" s="1" t="str">
        <f ca="1">IFERROR(__xludf.DUMMYFUNCTION("""COMPUTED_VALUE"""),"หนิง")</f>
        <v>หนิง</v>
      </c>
      <c r="E471" s="1" t="str">
        <f ca="1">IFERROR(__xludf.DUMMYFUNCTION("""COMPUTED_VALUE"""),"087-0563141")</f>
        <v>087-0563141</v>
      </c>
      <c r="F471" s="1" t="str">
        <f ca="1">IFERROR(__xludf.DUMMYFUNCTION("""COMPUTED_VALUE"""),"227/254 อาคารคันทรีทาวเวอร์ สรรพาวุธ")</f>
        <v>227/254 อาคารคันทรีทาวเวอร์ สรรพาวุธ</v>
      </c>
      <c r="G471" s="1" t="str">
        <f ca="1">IFERROR(__xludf.DUMMYFUNCTION("""COMPUTED_VALUE"""),"ตรวจสอบการนำจ่าย")</f>
        <v>ตรวจสอบการนำจ่าย</v>
      </c>
      <c r="H471" s="1" t="str">
        <f ca="1">IFERROR(__xludf.DUMMYFUNCTION("""COMPUTED_VALUE"""),"-")</f>
        <v>-</v>
      </c>
      <c r="I471" s="1" t="str">
        <f ca="1">IFERROR(__xludf.DUMMYFUNCTION("""COMPUTED_VALUE"""),"-")</f>
        <v>-</v>
      </c>
      <c r="J471" s="1" t="str">
        <f ca="1">IFERROR(__xludf.DUMMYFUNCTION("""COMPUTED_VALUE"""),"DB1")</f>
        <v>DB1</v>
      </c>
      <c r="K471" s="1" t="str">
        <f ca="1">IFERROR(__xludf.DUMMYFUNCTION("""COMPUTED_VALUE"""),"ems10260evd1005")</f>
        <v>ems10260evd1005</v>
      </c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 ht="15.75" customHeight="1" x14ac:dyDescent="0.2">
      <c r="A472" s="8">
        <f ca="1">IFERROR(__xludf.DUMMYFUNCTION("""COMPUTED_VALUE"""),45289.4751429166)</f>
        <v>45289.475142916599</v>
      </c>
      <c r="B472" s="1" t="str">
        <f ca="1">IFERROR(__xludf.DUMMYFUNCTION("""COMPUTED_VALUE"""),"On Queue")</f>
        <v>On Queue</v>
      </c>
      <c r="C472" s="1" t="str">
        <f ca="1">IFERROR(__xludf.DUMMYFUNCTION("""COMPUTED_VALUE"""),"jf161152206th")</f>
        <v>jf161152206th</v>
      </c>
      <c r="D472" s="1" t="str">
        <f ca="1">IFERROR(__xludf.DUMMYFUNCTION("""COMPUTED_VALUE"""),"รวัวัลย์")</f>
        <v>รวัวัลย์</v>
      </c>
      <c r="E472" s="1" t="str">
        <f ca="1">IFERROR(__xludf.DUMMYFUNCTION("""COMPUTED_VALUE"""),"092-9426199")</f>
        <v>092-9426199</v>
      </c>
      <c r="F472" s="1" t="str">
        <f ca="1">IFERROR(__xludf.DUMMYFUNCTION("""COMPUTED_VALUE"""),"95/1241  คอนโดเอลลิโอเดเร ซ.สุขุมวิท64")</f>
        <v>95/1241  คอนโดเอลลิโอเดเร ซ.สุขุมวิท64</v>
      </c>
      <c r="G472" s="1" t="str">
        <f ca="1">IFERROR(__xludf.DUMMYFUNCTION("""COMPUTED_VALUE"""),"ตรวจสอบการนำจ่าย")</f>
        <v>ตรวจสอบการนำจ่าย</v>
      </c>
      <c r="H472" s="1" t="str">
        <f ca="1">IFERROR(__xludf.DUMMYFUNCTION("""COMPUTED_VALUE"""),"-")</f>
        <v>-</v>
      </c>
      <c r="I472" s="1" t="str">
        <f ca="1">IFERROR(__xludf.DUMMYFUNCTION("""COMPUTED_VALUE"""),"-")</f>
        <v>-</v>
      </c>
      <c r="J472" s="1" t="str">
        <f ca="1">IFERROR(__xludf.DUMMYFUNCTION("""COMPUTED_VALUE"""),"นำจ่ายรถยนต์")</f>
        <v>นำจ่ายรถยนต์</v>
      </c>
      <c r="K472" s="1" t="str">
        <f ca="1">IFERROR(__xludf.DUMMYFUNCTION("""COMPUTED_VALUE"""),"car10260evd5003")</f>
        <v>car10260evd5003</v>
      </c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 ht="15.75" customHeight="1" x14ac:dyDescent="0.2">
      <c r="A473" s="8">
        <f ca="1">IFERROR(__xludf.DUMMYFUNCTION("""COMPUTED_VALUE"""),45289.4761543634)</f>
        <v>45289.476154363401</v>
      </c>
      <c r="B473" s="1" t="str">
        <f ca="1">IFERROR(__xludf.DUMMYFUNCTION("""COMPUTED_VALUE"""),"CEC")</f>
        <v>CEC</v>
      </c>
      <c r="C473" s="1" t="str">
        <f ca="1">IFERROR(__xludf.DUMMYFUNCTION("""COMPUTED_VALUE"""),"ob287041196th")</f>
        <v>ob287041196th</v>
      </c>
      <c r="D473" s="1" t="str">
        <f ca="1">IFERROR(__xludf.DUMMYFUNCTION("""COMPUTED_VALUE"""),"ปอย")</f>
        <v>ปอย</v>
      </c>
      <c r="E473" s="1" t="str">
        <f ca="1">IFERROR(__xludf.DUMMYFUNCTION("""COMPUTED_VALUE"""),"083-9000300")</f>
        <v>083-9000300</v>
      </c>
      <c r="F473" s="1" t="str">
        <f ca="1">IFERROR(__xludf.DUMMYFUNCTION("""COMPUTED_VALUE"""),"549/1 บ.คอมเซเว่น สรรพาวุธ")</f>
        <v>549/1 บ.คอมเซเว่น สรรพาวุธ</v>
      </c>
      <c r="G473" s="1" t="str">
        <f ca="1">IFERROR(__xludf.DUMMYFUNCTION("""COMPUTED_VALUE"""),"ตรวจสอบการนำจ่าย")</f>
        <v>ตรวจสอบการนำจ่าย</v>
      </c>
      <c r="H473" s="1" t="str">
        <f ca="1">IFERROR(__xludf.DUMMYFUNCTION("""COMPUTED_VALUE"""),"-")</f>
        <v>-</v>
      </c>
      <c r="I473" s="1" t="str">
        <f ca="1">IFERROR(__xludf.DUMMYFUNCTION("""COMPUTED_VALUE"""),"-")</f>
        <v>-</v>
      </c>
      <c r="J473" s="1" t="str">
        <f ca="1">IFERROR(__xludf.DUMMYFUNCTION("""COMPUTED_VALUE"""),"นำจ่ายรถยนต์")</f>
        <v>นำจ่ายรถยนต์</v>
      </c>
      <c r="K473" s="1" t="str">
        <f ca="1">IFERROR(__xludf.DUMMYFUNCTION("""COMPUTED_VALUE"""),"car10260evd5003")</f>
        <v>car10260evd5003</v>
      </c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 ht="15.75" customHeight="1" x14ac:dyDescent="0.2">
      <c r="A474" s="8">
        <f ca="1">IFERROR(__xludf.DUMMYFUNCTION("""COMPUTED_VALUE"""),45289.4772958217)</f>
        <v>45289.4772958217</v>
      </c>
      <c r="B474" s="1" t="str">
        <f ca="1">IFERROR(__xludf.DUMMYFUNCTION("""COMPUTED_VALUE"""),"CEC")</f>
        <v>CEC</v>
      </c>
      <c r="C474" s="1" t="str">
        <f ca="1">IFERROR(__xludf.DUMMYFUNCTION("""COMPUTED_VALUE"""),"em494464329th")</f>
        <v>em494464329th</v>
      </c>
      <c r="D474" s="1" t="str">
        <f ca="1">IFERROR(__xludf.DUMMYFUNCTION("""COMPUTED_VALUE"""),"ประมวล")</f>
        <v>ประมวล</v>
      </c>
      <c r="E474" s="1" t="str">
        <f ca="1">IFERROR(__xludf.DUMMYFUNCTION("""COMPUTED_VALUE"""),"087-1135761")</f>
        <v>087-1135761</v>
      </c>
      <c r="F474" s="1" t="str">
        <f ca="1">IFERROR(__xludf.DUMMYFUNCTION("""COMPUTED_VALUE"""),"916 ซ.อุดมสุข 50 สุขุมวิท103")</f>
        <v>916 ซ.อุดมสุข 50 สุขุมวิท103</v>
      </c>
      <c r="G474" s="1" t="str">
        <f ca="1">IFERROR(__xludf.DUMMYFUNCTION("""COMPUTED_VALUE"""),"ตรวจสอบการนำจ่าย")</f>
        <v>ตรวจสอบการนำจ่าย</v>
      </c>
      <c r="H474" s="1" t="str">
        <f ca="1">IFERROR(__xludf.DUMMYFUNCTION("""COMPUTED_VALUE"""),"-")</f>
        <v>-</v>
      </c>
      <c r="I474" s="1" t="str">
        <f ca="1">IFERROR(__xludf.DUMMYFUNCTION("""COMPUTED_VALUE"""),"-")</f>
        <v>-</v>
      </c>
      <c r="J474" s="1" t="str">
        <f ca="1">IFERROR(__xludf.DUMMYFUNCTION("""COMPUTED_VALUE"""),"DB2")</f>
        <v>DB2</v>
      </c>
      <c r="K474" s="1" t="str">
        <f ca="1">IFERROR(__xludf.DUMMYFUNCTION("""COMPUTED_VALUE"""),"ems10260evd2013")</f>
        <v>ems10260evd2013</v>
      </c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 ht="15.75" customHeight="1" x14ac:dyDescent="0.2">
      <c r="A475" s="8">
        <f ca="1">IFERROR(__xludf.DUMMYFUNCTION("""COMPUTED_VALUE"""),45289.4785843634)</f>
        <v>45289.478584363402</v>
      </c>
      <c r="B475" s="1" t="str">
        <f ca="1">IFERROR(__xludf.DUMMYFUNCTION("""COMPUTED_VALUE"""),"CEC")</f>
        <v>CEC</v>
      </c>
      <c r="C475" s="1" t="str">
        <f ca="1">IFERROR(__xludf.DUMMYFUNCTION("""COMPUTED_VALUE"""),"em361608623th")</f>
        <v>em361608623th</v>
      </c>
      <c r="D475" s="1" t="str">
        <f ca="1">IFERROR(__xludf.DUMMYFUNCTION("""COMPUTED_VALUE"""),"นฤเบศร")</f>
        <v>นฤเบศร</v>
      </c>
      <c r="E475" s="1" t="str">
        <f ca="1">IFERROR(__xludf.DUMMYFUNCTION("""COMPUTED_VALUE"""),"090-9928658")</f>
        <v>090-9928658</v>
      </c>
      <c r="F475" s="1" t="str">
        <f ca="1">IFERROR(__xludf.DUMMYFUNCTION("""COMPUTED_VALUE"""),"128/13 แฟลตทหารเรือ บางนา")</f>
        <v>128/13 แฟลตทหารเรือ บางนา</v>
      </c>
      <c r="G475" s="1" t="str">
        <f ca="1">IFERROR(__xludf.DUMMYFUNCTION("""COMPUTED_VALUE"""),"ตรวจสอบการนำจ่าย")</f>
        <v>ตรวจสอบการนำจ่าย</v>
      </c>
      <c r="H475" s="1" t="str">
        <f ca="1">IFERROR(__xludf.DUMMYFUNCTION("""COMPUTED_VALUE"""),"ปิด/นำจ่ายวันที่ 2-3 ม.ค.67")</f>
        <v>ปิด/นำจ่ายวันที่ 2-3 ม.ค.67</v>
      </c>
      <c r="I475" s="1" t="str">
        <f ca="1">IFERROR(__xludf.DUMMYFUNCTION("""COMPUTED_VALUE"""),"-")</f>
        <v>-</v>
      </c>
      <c r="J475" s="1" t="str">
        <f ca="1">IFERROR(__xludf.DUMMYFUNCTION("""COMPUTED_VALUE"""),"นำจ่ายรถยนต์")</f>
        <v>นำจ่ายรถยนต์</v>
      </c>
      <c r="K475" s="1" t="str">
        <f ca="1">IFERROR(__xludf.DUMMYFUNCTION("""COMPUTED_VALUE"""),"car10260evd5004")</f>
        <v>car10260evd5004</v>
      </c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 ht="15.75" customHeight="1" x14ac:dyDescent="0.2">
      <c r="A476" s="8">
        <f ca="1">IFERROR(__xludf.DUMMYFUNCTION("""COMPUTED_VALUE"""),45289.4797323495)</f>
        <v>45289.4797323495</v>
      </c>
      <c r="B476" s="1" t="str">
        <f ca="1">IFERROR(__xludf.DUMMYFUNCTION("""COMPUTED_VALUE"""),"CEC")</f>
        <v>CEC</v>
      </c>
      <c r="C476" s="1" t="str">
        <f ca="1">IFERROR(__xludf.DUMMYFUNCTION("""COMPUTED_VALUE"""),"ej599325321th")</f>
        <v>ej599325321th</v>
      </c>
      <c r="D476" s="1" t="str">
        <f ca="1">IFERROR(__xludf.DUMMYFUNCTION("""COMPUTED_VALUE"""),"จุฑามาศ")</f>
        <v>จุฑามาศ</v>
      </c>
      <c r="E476" s="1" t="str">
        <f ca="1">IFERROR(__xludf.DUMMYFUNCTION("""COMPUTED_VALUE"""),"064-2366646")</f>
        <v>064-2366646</v>
      </c>
      <c r="F476" s="1" t="str">
        <f ca="1">IFERROR(__xludf.DUMMYFUNCTION("""COMPUTED_VALUE"""),"919 บ.ไทยประกันชีวิต สาขาบางนา")</f>
        <v>919 บ.ไทยประกันชีวิต สาขาบางนา</v>
      </c>
      <c r="G476" s="1" t="str">
        <f ca="1">IFERROR(__xludf.DUMMYFUNCTION("""COMPUTED_VALUE"""),"ตรวจสอบการนำจ่าย")</f>
        <v>ตรวจสอบการนำจ่าย</v>
      </c>
      <c r="H476" s="1" t="str">
        <f ca="1">IFERROR(__xludf.DUMMYFUNCTION("""COMPUTED_VALUE"""),"-")</f>
        <v>-</v>
      </c>
      <c r="I476" s="1" t="str">
        <f ca="1">IFERROR(__xludf.DUMMYFUNCTION("""COMPUTED_VALUE"""),"-")</f>
        <v>-</v>
      </c>
      <c r="J476" s="1" t="str">
        <f ca="1">IFERROR(__xludf.DUMMYFUNCTION("""COMPUTED_VALUE"""),"DB1")</f>
        <v>DB1</v>
      </c>
      <c r="K476" s="1" t="str">
        <f ca="1">IFERROR(__xludf.DUMMYFUNCTION("""COMPUTED_VALUE"""),"ems10260evd1001")</f>
        <v>ems10260evd1001</v>
      </c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 ht="15.75" customHeight="1" x14ac:dyDescent="0.2">
      <c r="A477" s="8">
        <f ca="1">IFERROR(__xludf.DUMMYFUNCTION("""COMPUTED_VALUE"""),45289.5990268171)</f>
        <v>45289.599026817101</v>
      </c>
      <c r="B477" s="1" t="str">
        <f ca="1">IFERROR(__xludf.DUMMYFUNCTION("""COMPUTED_VALUE"""),"On Queue")</f>
        <v>On Queue</v>
      </c>
      <c r="C477" s="1" t="str">
        <f ca="1">IFERROR(__xludf.DUMMYFUNCTION("""COMPUTED_VALUE"""),"ed124611322th")</f>
        <v>ed124611322th</v>
      </c>
      <c r="D477" s="1" t="str">
        <f ca="1">IFERROR(__xludf.DUMMYFUNCTION("""COMPUTED_VALUE"""),"ปิยะชัย")</f>
        <v>ปิยะชัย</v>
      </c>
      <c r="E477" s="1" t="str">
        <f ca="1">IFERROR(__xludf.DUMMYFUNCTION("""COMPUTED_VALUE"""),"081-8649914")</f>
        <v>081-8649914</v>
      </c>
      <c r="F477" s="1" t="str">
        <f ca="1">IFERROR(__xludf.DUMMYFUNCTION("""COMPUTED_VALUE"""),"66/50 ซอย.อุดมสุข 20 สุขุมวิท 103")</f>
        <v>66/50 ซอย.อุดมสุข 20 สุขุมวิท 103</v>
      </c>
      <c r="G477" s="1" t="str">
        <f ca="1">IFERROR(__xludf.DUMMYFUNCTION("""COMPUTED_VALUE"""),"ตรวจสอบการนำจ่าย")</f>
        <v>ตรวจสอบการนำจ่าย</v>
      </c>
      <c r="H477" s="1" t="str">
        <f ca="1">IFERROR(__xludf.DUMMYFUNCTION("""COMPUTED_VALUE"""),"-")</f>
        <v>-</v>
      </c>
      <c r="I477" s="1" t="str">
        <f ca="1">IFERROR(__xludf.DUMMYFUNCTION("""COMPUTED_VALUE"""),"-")</f>
        <v>-</v>
      </c>
      <c r="J477" s="1" t="str">
        <f ca="1">IFERROR(__xludf.DUMMYFUNCTION("""COMPUTED_VALUE"""),"DB2")</f>
        <v>DB2</v>
      </c>
      <c r="K477" s="1" t="str">
        <f ca="1">IFERROR(__xludf.DUMMYFUNCTION("""COMPUTED_VALUE"""),"ems10260evd2019")</f>
        <v>ems10260evd2019</v>
      </c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 ht="15.75" customHeight="1" x14ac:dyDescent="0.2">
      <c r="A478" s="8">
        <f ca="1">IFERROR(__xludf.DUMMYFUNCTION("""COMPUTED_VALUE"""),45289.6365782638)</f>
        <v>45289.636578263802</v>
      </c>
      <c r="B478" s="1" t="str">
        <f ca="1">IFERROR(__xludf.DUMMYFUNCTION("""COMPUTED_VALUE"""),"CEC")</f>
        <v>CEC</v>
      </c>
      <c r="C478" s="1" t="str">
        <f ca="1">IFERROR(__xludf.DUMMYFUNCTION("""COMPUTED_VALUE"""),"me260198765th")</f>
        <v>me260198765th</v>
      </c>
      <c r="D478" s="1" t="str">
        <f ca="1">IFERROR(__xludf.DUMMYFUNCTION("""COMPUTED_VALUE"""),"สุรัตน์")</f>
        <v>สุรัตน์</v>
      </c>
      <c r="E478" s="1" t="str">
        <f ca="1">IFERROR(__xludf.DUMMYFUNCTION("""COMPUTED_VALUE"""),"085-9991362")</f>
        <v>085-9991362</v>
      </c>
      <c r="F478" s="1" t="str">
        <f ca="1">IFERROR(__xludf.DUMMYFUNCTION("""COMPUTED_VALUE"""),"237 บ.ยูแทคไทย ฯ ซ.ลาซาน สุขุมวิท 105")</f>
        <v>237 บ.ยูแทคไทย ฯ ซ.ลาซาน สุขุมวิท 105</v>
      </c>
      <c r="G478" s="1" t="str">
        <f ca="1">IFERROR(__xludf.DUMMYFUNCTION("""COMPUTED_VALUE"""),"ตรวจสอบการนำจ่าย")</f>
        <v>ตรวจสอบการนำจ่าย</v>
      </c>
      <c r="H478" s="1" t="str">
        <f ca="1">IFERROR(__xludf.DUMMYFUNCTION("""COMPUTED_VALUE"""),"-")</f>
        <v>-</v>
      </c>
      <c r="I478" s="1" t="str">
        <f ca="1">IFERROR(__xludf.DUMMYFUNCTION("""COMPUTED_VALUE"""),"-")</f>
        <v>-</v>
      </c>
      <c r="J478" s="1" t="str">
        <f ca="1">IFERROR(__xludf.DUMMYFUNCTION("""COMPUTED_VALUE"""),"DB1")</f>
        <v>DB1</v>
      </c>
      <c r="K478" s="1" t="str">
        <f ca="1">IFERROR(__xludf.DUMMYFUNCTION("""COMPUTED_VALUE"""),"ema10260evd1021")</f>
        <v>ema10260evd1021</v>
      </c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 ht="15.75" customHeight="1" x14ac:dyDescent="0.2">
      <c r="A479" s="8">
        <f ca="1">IFERROR(__xludf.DUMMYFUNCTION("""COMPUTED_VALUE"""),45289.6649327199)</f>
        <v>45289.664932719897</v>
      </c>
      <c r="B479" s="1" t="str">
        <f ca="1">IFERROR(__xludf.DUMMYFUNCTION("""COMPUTED_VALUE"""),"CEC")</f>
        <v>CEC</v>
      </c>
      <c r="C479" s="1" t="str">
        <f ca="1">IFERROR(__xludf.DUMMYFUNCTION("""COMPUTED_VALUE"""),"eb974624175th")</f>
        <v>eb974624175th</v>
      </c>
      <c r="D479" s="1" t="str">
        <f ca="1">IFERROR(__xludf.DUMMYFUNCTION("""COMPUTED_VALUE"""),"สุชาติ")</f>
        <v>สุชาติ</v>
      </c>
      <c r="E479" s="1" t="str">
        <f ca="1">IFERROR(__xludf.DUMMYFUNCTION("""COMPUTED_VALUE"""),"063-6354795")</f>
        <v>063-6354795</v>
      </c>
      <c r="F479" s="1" t="str">
        <f ca="1">IFERROR(__xludf.DUMMYFUNCTION("""COMPUTED_VALUE"""),"232/46 ซ.ปุณณวิถี 7 (8) ซ.101")</f>
        <v>232/46 ซ.ปุณณวิถี 7 (8) ซ.101</v>
      </c>
      <c r="G479" s="1" t="str">
        <f ca="1">IFERROR(__xludf.DUMMYFUNCTION("""COMPUTED_VALUE"""),"นำจ่ายใหม่")</f>
        <v>นำจ่ายใหม่</v>
      </c>
      <c r="H479" s="1" t="str">
        <f ca="1">IFERROR(__xludf.DUMMYFUNCTION("""COMPUTED_VALUE"""),"ผู้รับอยู่ ซ.ปุณณวิถี 8 ")</f>
        <v xml:space="preserve">ผู้รับอยู่ ซ.ปุณณวิถี 8 </v>
      </c>
      <c r="I479" s="1" t="str">
        <f ca="1">IFERROR(__xludf.DUMMYFUNCTION("""COMPUTED_VALUE"""),"-")</f>
        <v>-</v>
      </c>
      <c r="J479" s="1" t="str">
        <f ca="1">IFERROR(__xludf.DUMMYFUNCTION("""COMPUTED_VALUE"""),"DB3")</f>
        <v>DB3</v>
      </c>
      <c r="K479" s="1" t="str">
        <f ca="1">IFERROR(__xludf.DUMMYFUNCTION("""COMPUTED_VALUE"""),"ems10260evd3013")</f>
        <v>ems10260evd3013</v>
      </c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 ht="15.75" customHeight="1" x14ac:dyDescent="0.2">
      <c r="A480" s="8">
        <f ca="1">IFERROR(__xludf.DUMMYFUNCTION("""COMPUTED_VALUE"""),45290.4465273611)</f>
        <v>45290.446527361099</v>
      </c>
      <c r="B480" s="1" t="str">
        <f ca="1">IFERROR(__xludf.DUMMYFUNCTION("""COMPUTED_VALUE"""),"CEC")</f>
        <v>CEC</v>
      </c>
      <c r="C480" s="1" t="str">
        <f ca="1">IFERROR(__xludf.DUMMYFUNCTION("""COMPUTED_VALUE"""),"jf160905925th")</f>
        <v>jf160905925th</v>
      </c>
      <c r="D480" s="1" t="str">
        <f ca="1">IFERROR(__xludf.DUMMYFUNCTION("""COMPUTED_VALUE"""),"เศกสรรค์")</f>
        <v>เศกสรรค์</v>
      </c>
      <c r="E480" s="1" t="str">
        <f ca="1">IFERROR(__xludf.DUMMYFUNCTION("""COMPUTED_VALUE"""),"086-8886885")</f>
        <v>086-8886885</v>
      </c>
      <c r="F480" s="1" t="str">
        <f ca="1">IFERROR(__xludf.DUMMYFUNCTION("""COMPUTED_VALUE"""),"210 โรงกลั่นน้ำมันบางจาก ซ.64")</f>
        <v>210 โรงกลั่นน้ำมันบางจาก ซ.64</v>
      </c>
      <c r="G480" s="1" t="str">
        <f ca="1">IFERROR(__xludf.DUMMYFUNCTION("""COMPUTED_VALUE"""),"นำจ่ายใหม่")</f>
        <v>นำจ่ายใหม่</v>
      </c>
      <c r="H480" s="1" t="str">
        <f ca="1">IFERROR(__xludf.DUMMYFUNCTION("""COMPUTED_VALUE"""),"-")</f>
        <v>-</v>
      </c>
      <c r="I480" s="1" t="str">
        <f ca="1">IFERROR(__xludf.DUMMYFUNCTION("""COMPUTED_VALUE"""),"-")</f>
        <v>-</v>
      </c>
      <c r="J480" s="1" t="str">
        <f ca="1">IFERROR(__xludf.DUMMYFUNCTION("""COMPUTED_VALUE"""),"นำจ่ายรถยนต์")</f>
        <v>นำจ่ายรถยนต์</v>
      </c>
      <c r="K480" s="1" t="str">
        <f ca="1">IFERROR(__xludf.DUMMYFUNCTION("""COMPUTED_VALUE"""),"car10260evd5003")</f>
        <v>car10260evd5003</v>
      </c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 ht="15.75" customHeight="1" x14ac:dyDescent="0.2">
      <c r="A481" s="8">
        <f ca="1">IFERROR(__xludf.DUMMYFUNCTION("""COMPUTED_VALUE"""),45290.4474257638)</f>
        <v>45290.447425763799</v>
      </c>
      <c r="B481" s="1" t="str">
        <f ca="1">IFERROR(__xludf.DUMMYFUNCTION("""COMPUTED_VALUE"""),"CEC")</f>
        <v>CEC</v>
      </c>
      <c r="C481" s="1" t="str">
        <f ca="1">IFERROR(__xludf.DUMMYFUNCTION("""COMPUTED_VALUE"""),"ef358182818th")</f>
        <v>ef358182818th</v>
      </c>
      <c r="D481" s="1" t="str">
        <f ca="1">IFERROR(__xludf.DUMMYFUNCTION("""COMPUTED_VALUE"""),"วันธนา")</f>
        <v>วันธนา</v>
      </c>
      <c r="E481" s="1" t="str">
        <f ca="1">IFERROR(__xludf.DUMMYFUNCTION("""COMPUTED_VALUE"""),"080-9287882")</f>
        <v>080-9287882</v>
      </c>
      <c r="F481" s="1" t="str">
        <f ca="1">IFERROR(__xludf.DUMMYFUNCTION("""COMPUTED_VALUE"""),"172/11 แฟลตทหารเรือบางนา สรรพาวุธ")</f>
        <v>172/11 แฟลตทหารเรือบางนา สรรพาวุธ</v>
      </c>
      <c r="G481" s="1" t="str">
        <f ca="1">IFERROR(__xludf.DUMMYFUNCTION("""COMPUTED_VALUE"""),"ตรวจสอบการนำจ่าย")</f>
        <v>ตรวจสอบการนำจ่าย</v>
      </c>
      <c r="H481" s="1" t="str">
        <f ca="1">IFERROR(__xludf.DUMMYFUNCTION("""COMPUTED_VALUE"""),"-")</f>
        <v>-</v>
      </c>
      <c r="I481" s="1" t="str">
        <f ca="1">IFERROR(__xludf.DUMMYFUNCTION("""COMPUTED_VALUE"""),"-")</f>
        <v>-</v>
      </c>
      <c r="J481" s="1" t="str">
        <f ca="1">IFERROR(__xludf.DUMMYFUNCTION("""COMPUTED_VALUE"""),"นำจ่ายรถยนต์")</f>
        <v>นำจ่ายรถยนต์</v>
      </c>
      <c r="K481" s="1" t="str">
        <f ca="1">IFERROR(__xludf.DUMMYFUNCTION("""COMPUTED_VALUE"""),"car10260evd5003")</f>
        <v>car10260evd5003</v>
      </c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 ht="15.75" customHeight="1" x14ac:dyDescent="0.2">
      <c r="A482" s="8">
        <f ca="1">IFERROR(__xludf.DUMMYFUNCTION("""COMPUTED_VALUE"""),45290.4499534143)</f>
        <v>45290.449953414303</v>
      </c>
      <c r="B482" s="1" t="str">
        <f ca="1">IFERROR(__xludf.DUMMYFUNCTION("""COMPUTED_VALUE"""),"CEC")</f>
        <v>CEC</v>
      </c>
      <c r="C482" s="1" t="str">
        <f ca="1">IFERROR(__xludf.DUMMYFUNCTION("""COMPUTED_VALUE"""),"eb974623838th")</f>
        <v>eb974623838th</v>
      </c>
      <c r="D482" s="1" t="str">
        <f ca="1">IFERROR(__xludf.DUMMYFUNCTION("""COMPUTED_VALUE"""),"วิชา")</f>
        <v>วิชา</v>
      </c>
      <c r="E482" s="1" t="str">
        <f ca="1">IFERROR(__xludf.DUMMYFUNCTION("""COMPUTED_VALUE"""),"089-7808778")</f>
        <v>089-7808778</v>
      </c>
      <c r="F482" s="1" t="str">
        <f ca="1">IFERROR(__xludf.DUMMYFUNCTION("""COMPUTED_VALUE"""),"4109/170 คอนโดเดอะสกาย สุขุมวิท103/4")</f>
        <v>4109/170 คอนโดเดอะสกาย สุขุมวิท103/4</v>
      </c>
      <c r="G482" s="1" t="str">
        <f ca="1">IFERROR(__xludf.DUMMYFUNCTION("""COMPUTED_VALUE"""),"นำจ่ายใหม่")</f>
        <v>นำจ่ายใหม่</v>
      </c>
      <c r="H482" s="1" t="str">
        <f ca="1">IFERROR(__xludf.DUMMYFUNCTION("""COMPUTED_VALUE"""),"-")</f>
        <v>-</v>
      </c>
      <c r="I482" s="1" t="str">
        <f ca="1">IFERROR(__xludf.DUMMYFUNCTION("""COMPUTED_VALUE"""),"-")</f>
        <v>-</v>
      </c>
      <c r="J482" s="1" t="str">
        <f ca="1">IFERROR(__xludf.DUMMYFUNCTION("""COMPUTED_VALUE"""),"นำจ่ายรถยนต์")</f>
        <v>นำจ่ายรถยนต์</v>
      </c>
      <c r="K482" s="1" t="str">
        <f ca="1">IFERROR(__xludf.DUMMYFUNCTION("""COMPUTED_VALUE"""),"car10260evd5010")</f>
        <v>car10260evd5010</v>
      </c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 ht="15.75" customHeight="1" x14ac:dyDescent="0.2">
      <c r="A483" s="8">
        <f ca="1">IFERROR(__xludf.DUMMYFUNCTION("""COMPUTED_VALUE"""),45290.5112749074)</f>
        <v>45290.511274907403</v>
      </c>
      <c r="B483" s="1" t="str">
        <f ca="1">IFERROR(__xludf.DUMMYFUNCTION("""COMPUTED_VALUE"""),"CEC")</f>
        <v>CEC</v>
      </c>
      <c r="C483" s="1" t="str">
        <f ca="1">IFERROR(__xludf.DUMMYFUNCTION("""COMPUTED_VALUE"""),"ed103507911th")</f>
        <v>ed103507911th</v>
      </c>
      <c r="D483" s="1" t="str">
        <f ca="1">IFERROR(__xludf.DUMMYFUNCTION("""COMPUTED_VALUE"""),"ปรีชา")</f>
        <v>ปรีชา</v>
      </c>
      <c r="E483" s="1" t="str">
        <f ca="1">IFERROR(__xludf.DUMMYFUNCTION("""COMPUTED_VALUE"""),"086-7735828")</f>
        <v>086-7735828</v>
      </c>
      <c r="F483" s="1" t="str">
        <f ca="1">IFERROR(__xludf.DUMMYFUNCTION("""COMPUTED_VALUE"""),"9 ซอย.ประวิทย์ 8/3 สุขุมวิท103")</f>
        <v>9 ซอย.ประวิทย์ 8/3 สุขุมวิท103</v>
      </c>
      <c r="G483" s="1" t="str">
        <f ca="1">IFERROR(__xludf.DUMMYFUNCTION("""COMPUTED_VALUE"""),"ตรวจสอบการนำจ่าย")</f>
        <v>ตรวจสอบการนำจ่าย</v>
      </c>
      <c r="H483" s="1" t="str">
        <f ca="1">IFERROR(__xludf.DUMMYFUNCTION("""COMPUTED_VALUE"""),"-")</f>
        <v>-</v>
      </c>
      <c r="I483" s="1" t="str">
        <f ca="1">IFERROR(__xludf.DUMMYFUNCTION("""COMPUTED_VALUE"""),"-")</f>
        <v>-</v>
      </c>
      <c r="J483" s="1" t="str">
        <f ca="1">IFERROR(__xludf.DUMMYFUNCTION("""COMPUTED_VALUE"""),"DB3")</f>
        <v>DB3</v>
      </c>
      <c r="K483" s="1" t="str">
        <f ca="1">IFERROR(__xludf.DUMMYFUNCTION("""COMPUTED_VALUE"""),"ems10260evd3034")</f>
        <v>ems10260evd3034</v>
      </c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 ht="15.75" customHeight="1" x14ac:dyDescent="0.2">
      <c r="A484" s="8">
        <f ca="1">IFERROR(__xludf.DUMMYFUNCTION("""COMPUTED_VALUE"""),45290.5133087384)</f>
        <v>45290.513308738402</v>
      </c>
      <c r="B484" s="1" t="str">
        <f ca="1">IFERROR(__xludf.DUMMYFUNCTION("""COMPUTED_VALUE"""),"CEC")</f>
        <v>CEC</v>
      </c>
      <c r="C484" s="1" t="str">
        <f ca="1">IFERROR(__xludf.DUMMYFUNCTION("""COMPUTED_VALUE"""),"rn162968596th")</f>
        <v>rn162968596th</v>
      </c>
      <c r="D484" s="1" t="str">
        <f ca="1">IFERROR(__xludf.DUMMYFUNCTION("""COMPUTED_VALUE"""),"วีระวิทย์")</f>
        <v>วีระวิทย์</v>
      </c>
      <c r="E484" s="1" t="str">
        <f ca="1">IFERROR(__xludf.DUMMYFUNCTION("""COMPUTED_VALUE"""),"rn162968596th")</f>
        <v>rn162968596th</v>
      </c>
      <c r="F484" s="1" t="str">
        <f ca="1">IFERROR(__xludf.DUMMYFUNCTION("""COMPUTED_VALUE"""),"979/56 ซ.อุดมสุข 35 ซ.103")</f>
        <v>979/56 ซ.อุดมสุข 35 ซ.103</v>
      </c>
      <c r="G484" s="1" t="str">
        <f ca="1">IFERROR(__xludf.DUMMYFUNCTION("""COMPUTED_VALUE"""),"นำจ่ายใหม่")</f>
        <v>นำจ่ายใหม่</v>
      </c>
      <c r="H484" s="1" t="str">
        <f ca="1">IFERROR(__xludf.DUMMYFUNCTION("""COMPUTED_VALUE"""),"-")</f>
        <v>-</v>
      </c>
      <c r="I484" s="1" t="str">
        <f ca="1">IFERROR(__xludf.DUMMYFUNCTION("""COMPUTED_VALUE"""),"-")</f>
        <v>-</v>
      </c>
      <c r="J484" s="1" t="str">
        <f ca="1">IFERROR(__xludf.DUMMYFUNCTION("""COMPUTED_VALUE"""),"DB3")</f>
        <v>DB3</v>
      </c>
      <c r="K484" s="1" t="str">
        <f ca="1">IFERROR(__xludf.DUMMYFUNCTION("""COMPUTED_VALUE"""),"emd10260evd3006")</f>
        <v>emd10260evd3006</v>
      </c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 ht="15.75" customHeight="1" x14ac:dyDescent="0.2">
      <c r="A485" s="8">
        <f ca="1">IFERROR(__xludf.DUMMYFUNCTION("""COMPUTED_VALUE"""),45290.51462103)</f>
        <v>45290.514621030001</v>
      </c>
      <c r="B485" s="1" t="str">
        <f ca="1">IFERROR(__xludf.DUMMYFUNCTION("""COMPUTED_VALUE"""),"CEC")</f>
        <v>CEC</v>
      </c>
      <c r="C485" s="1" t="str">
        <f ca="1">IFERROR(__xludf.DUMMYFUNCTION("""COMPUTED_VALUE"""),"rn162969764th")</f>
        <v>rn162969764th</v>
      </c>
      <c r="D485" s="1" t="str">
        <f ca="1">IFERROR(__xludf.DUMMYFUNCTION("""COMPUTED_VALUE"""),"วีระวิทย์")</f>
        <v>วีระวิทย์</v>
      </c>
      <c r="E485" s="1" t="str">
        <f ca="1">IFERROR(__xludf.DUMMYFUNCTION("""COMPUTED_VALUE"""),"099-6364956")</f>
        <v>099-6364956</v>
      </c>
      <c r="F485" s="1" t="str">
        <f ca="1">IFERROR(__xludf.DUMMYFUNCTION("""COMPUTED_VALUE"""),"979/56 ซ.อุดมสุข 35 ซ.103")</f>
        <v>979/56 ซ.อุดมสุข 35 ซ.103</v>
      </c>
      <c r="G485" s="1" t="str">
        <f ca="1">IFERROR(__xludf.DUMMYFUNCTION("""COMPUTED_VALUE"""),"นำจ่ายใหม่")</f>
        <v>นำจ่ายใหม่</v>
      </c>
      <c r="H485" s="1" t="str">
        <f ca="1">IFERROR(__xludf.DUMMYFUNCTION("""COMPUTED_VALUE"""),"-")</f>
        <v>-</v>
      </c>
      <c r="I485" s="1" t="str">
        <f ca="1">IFERROR(__xludf.DUMMYFUNCTION("""COMPUTED_VALUE"""),"-")</f>
        <v>-</v>
      </c>
      <c r="J485" s="1" t="str">
        <f ca="1">IFERROR(__xludf.DUMMYFUNCTION("""COMPUTED_VALUE"""),"DB3")</f>
        <v>DB3</v>
      </c>
      <c r="K485" s="1" t="str">
        <f ca="1">IFERROR(__xludf.DUMMYFUNCTION("""COMPUTED_VALUE"""),"ems102603006")</f>
        <v>ems102603006</v>
      </c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 ht="15.75" customHeight="1" x14ac:dyDescent="0.2">
      <c r="A486" s="8">
        <f ca="1">IFERROR(__xludf.DUMMYFUNCTION("""COMPUTED_VALUE"""),45290.5612383796)</f>
        <v>45290.561238379603</v>
      </c>
      <c r="B486" s="1" t="str">
        <f ca="1">IFERROR(__xludf.DUMMYFUNCTION("""COMPUTED_VALUE"""),"CEC")</f>
        <v>CEC</v>
      </c>
      <c r="C486" s="1" t="str">
        <f ca="1">IFERROR(__xludf.DUMMYFUNCTION("""COMPUTED_VALUE"""),"jf159907288th")</f>
        <v>jf159907288th</v>
      </c>
      <c r="D486" s="1" t="str">
        <f ca="1">IFERROR(__xludf.DUMMYFUNCTION("""COMPUTED_VALUE"""),"ฐานิญา")</f>
        <v>ฐานิญา</v>
      </c>
      <c r="E486" s="1" t="str">
        <f ca="1">IFERROR(__xludf.DUMMYFUNCTION("""COMPUTED_VALUE"""),"064-8194498")</f>
        <v>064-8194498</v>
      </c>
      <c r="F486" s="1" t="str">
        <f ca="1">IFERROR(__xludf.DUMMYFUNCTION("""COMPUTED_VALUE"""),"796/32 คอนโดดิเอ็กซ์เซล ลาซาน52 ซ.105")</f>
        <v>796/32 คอนโดดิเอ็กซ์เซล ลาซาน52 ซ.105</v>
      </c>
      <c r="G486" s="1" t="str">
        <f ca="1">IFERROR(__xludf.DUMMYFUNCTION("""COMPUTED_VALUE"""),"ตรวจสอบการนำจ่าย")</f>
        <v>ตรวจสอบการนำจ่าย</v>
      </c>
      <c r="H486" s="1" t="str">
        <f ca="1">IFERROR(__xludf.DUMMYFUNCTION("""COMPUTED_VALUE"""),"-")</f>
        <v>-</v>
      </c>
      <c r="I486" s="1" t="str">
        <f ca="1">IFERROR(__xludf.DUMMYFUNCTION("""COMPUTED_VALUE"""),"-")</f>
        <v>-</v>
      </c>
      <c r="J486" s="1" t="str">
        <f ca="1">IFERROR(__xludf.DUMMYFUNCTION("""COMPUTED_VALUE"""),"นำจ่ายรถยนต์")</f>
        <v>นำจ่ายรถยนต์</v>
      </c>
      <c r="K486" s="1" t="str">
        <f ca="1">IFERROR(__xludf.DUMMYFUNCTION("""COMPUTED_VALUE"""),"car10260evd5006")</f>
        <v>car10260evd5006</v>
      </c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 ht="15.75" customHeight="1" x14ac:dyDescent="0.2">
      <c r="A487" s="8">
        <f ca="1">IFERROR(__xludf.DUMMYFUNCTION("""COMPUTED_VALUE"""),45290.5757046643)</f>
        <v>45290.575704664298</v>
      </c>
      <c r="B487" s="1" t="str">
        <f ca="1">IFERROR(__xludf.DUMMYFUNCTION("""COMPUTED_VALUE"""),"CEC")</f>
        <v>CEC</v>
      </c>
      <c r="C487" s="1" t="str">
        <f ca="1">IFERROR(__xludf.DUMMYFUNCTION("""COMPUTED_VALUE"""),"ed142554992th")</f>
        <v>ed142554992th</v>
      </c>
      <c r="D487" s="1" t="str">
        <f ca="1">IFERROR(__xludf.DUMMYFUNCTION("""COMPUTED_VALUE"""),"สุริยา")</f>
        <v>สุริยา</v>
      </c>
      <c r="E487" s="1" t="str">
        <f ca="1">IFERROR(__xludf.DUMMYFUNCTION("""COMPUTED_VALUE"""),"098-8582751")</f>
        <v>098-8582751</v>
      </c>
      <c r="F487" s="1" t="str">
        <f ca="1">IFERROR(__xludf.DUMMYFUNCTION("""COMPUTED_VALUE"""),"35/47 ชุมชนริมทางด่วน ซ.70/2")</f>
        <v>35/47 ชุมชนริมทางด่วน ซ.70/2</v>
      </c>
      <c r="G487" s="1" t="str">
        <f ca="1">IFERROR(__xludf.DUMMYFUNCTION("""COMPUTED_VALUE"""),"ตรวจสอบการนำจ่าย")</f>
        <v>ตรวจสอบการนำจ่าย</v>
      </c>
      <c r="H487" s="1" t="str">
        <f ca="1">IFERROR(__xludf.DUMMYFUNCTION("""COMPUTED_VALUE"""),"-")</f>
        <v>-</v>
      </c>
      <c r="I487" s="1" t="str">
        <f ca="1">IFERROR(__xludf.DUMMYFUNCTION("""COMPUTED_VALUE"""),"-")</f>
        <v>-</v>
      </c>
      <c r="J487" s="1" t="str">
        <f ca="1">IFERROR(__xludf.DUMMYFUNCTION("""COMPUTED_VALUE"""),"นำจ่ายรถยนต์")</f>
        <v>นำจ่ายรถยนต์</v>
      </c>
      <c r="K487" s="1" t="str">
        <f ca="1">IFERROR(__xludf.DUMMYFUNCTION("""COMPUTED_VALUE"""),"car10260evd2003")</f>
        <v>car10260evd2003</v>
      </c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 ht="15.75" customHeight="1" x14ac:dyDescent="0.2">
      <c r="A488" s="8">
        <f ca="1">IFERROR(__xludf.DUMMYFUNCTION("""COMPUTED_VALUE"""),45290.5778023842)</f>
        <v>45290.577802384199</v>
      </c>
      <c r="B488" s="1" t="str">
        <f ca="1">IFERROR(__xludf.DUMMYFUNCTION("""COMPUTED_VALUE"""),"CEC")</f>
        <v>CEC</v>
      </c>
      <c r="C488" s="1" t="str">
        <f ca="1">IFERROR(__xludf.DUMMYFUNCTION("""COMPUTED_VALUE"""),"ed078676195th")</f>
        <v>ed078676195th</v>
      </c>
      <c r="D488" s="1" t="str">
        <f ca="1">IFERROR(__xludf.DUMMYFUNCTION("""COMPUTED_VALUE"""),"รริน")</f>
        <v>รริน</v>
      </c>
      <c r="E488" s="1" t="str">
        <f ca="1">IFERROR(__xludf.DUMMYFUNCTION("""COMPUTED_VALUE"""),"093-6532939")</f>
        <v>093-6532939</v>
      </c>
      <c r="F488" s="1" t="str">
        <f ca="1">IFERROR(__xludf.DUMMYFUNCTION("""COMPUTED_VALUE"""),"1112/331 the excelcondo ซ.เริ่มเจริญ ซ.105")</f>
        <v>1112/331 the excelcondo ซ.เริ่มเจริญ ซ.105</v>
      </c>
      <c r="G488" s="1" t="str">
        <f ca="1">IFERROR(__xludf.DUMMYFUNCTION("""COMPUTED_VALUE"""),"ตรวจสอบการนำจ่าย")</f>
        <v>ตรวจสอบการนำจ่าย</v>
      </c>
      <c r="H488" s="1" t="str">
        <f ca="1">IFERROR(__xludf.DUMMYFUNCTION("""COMPUTED_VALUE"""),"-")</f>
        <v>-</v>
      </c>
      <c r="I488" s="1" t="str">
        <f ca="1">IFERROR(__xludf.DUMMYFUNCTION("""COMPUTED_VALUE"""),"-")</f>
        <v>-</v>
      </c>
      <c r="J488" s="1" t="str">
        <f ca="1">IFERROR(__xludf.DUMMYFUNCTION("""COMPUTED_VALUE"""),"นำจ่ายรถยนต์")</f>
        <v>นำจ่ายรถยนต์</v>
      </c>
      <c r="K488" s="1" t="str">
        <f ca="1">IFERROR(__xludf.DUMMYFUNCTION("""COMPUTED_VALUE"""),"car10260evd5001")</f>
        <v>car10260evd5001</v>
      </c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 ht="15.75" customHeight="1" x14ac:dyDescent="0.2">
      <c r="A489" s="8">
        <f ca="1">IFERROR(__xludf.DUMMYFUNCTION("""COMPUTED_VALUE"""),45290.6484284953)</f>
        <v>45290.648428495297</v>
      </c>
      <c r="B489" s="1" t="str">
        <f ca="1">IFERROR(__xludf.DUMMYFUNCTION("""COMPUTED_VALUE"""),"CEC")</f>
        <v>CEC</v>
      </c>
      <c r="C489" s="1" t="str">
        <f ca="1">IFERROR(__xludf.DUMMYFUNCTION("""COMPUTED_VALUE"""),"em356866341th")</f>
        <v>em356866341th</v>
      </c>
      <c r="D489" s="1" t="str">
        <f ca="1">IFERROR(__xludf.DUMMYFUNCTION("""COMPUTED_VALUE"""),"พรปวีณ์")</f>
        <v>พรปวีณ์</v>
      </c>
      <c r="E489" s="1" t="str">
        <f ca="1">IFERROR(__xludf.DUMMYFUNCTION("""COMPUTED_VALUE"""),"062-4159239")</f>
        <v>062-4159239</v>
      </c>
      <c r="F489" s="1" t="str">
        <f ca="1">IFERROR(__xludf.DUMMYFUNCTION("""COMPUTED_VALUE"""),"95/24 คอนโดเอลดิโอเดเรล ซ.สุขุมวิท64")</f>
        <v>95/24 คอนโดเอลดิโอเดเรล ซ.สุขุมวิท64</v>
      </c>
      <c r="G489" s="1" t="str">
        <f ca="1">IFERROR(__xludf.DUMMYFUNCTION("""COMPUTED_VALUE"""),"ตรวจสอบการนำจ่าย")</f>
        <v>ตรวจสอบการนำจ่าย</v>
      </c>
      <c r="H489" s="1" t="str">
        <f ca="1">IFERROR(__xludf.DUMMYFUNCTION("""COMPUTED_VALUE"""),"COD.3850 บาท)")</f>
        <v>COD.3850 บาท)</v>
      </c>
      <c r="I489" s="1" t="str">
        <f ca="1">IFERROR(__xludf.DUMMYFUNCTION("""COMPUTED_VALUE"""),"-")</f>
        <v>-</v>
      </c>
      <c r="J489" s="1" t="str">
        <f ca="1">IFERROR(__xludf.DUMMYFUNCTION("""COMPUTED_VALUE"""),"นำจ่ายรถยนต์")</f>
        <v>นำจ่ายรถยนต์</v>
      </c>
      <c r="K489" s="1" t="str">
        <f ca="1">IFERROR(__xludf.DUMMYFUNCTION("""COMPUTED_VALUE"""),"car10260evd5004")</f>
        <v>car10260evd5004</v>
      </c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 ht="15.75" customHeight="1" x14ac:dyDescent="0.2">
      <c r="A490" s="8">
        <f ca="1">IFERROR(__xludf.DUMMYFUNCTION("""COMPUTED_VALUE"""),45290.6521089004)</f>
        <v>45290.652108900402</v>
      </c>
      <c r="B490" s="1" t="str">
        <f ca="1">IFERROR(__xludf.DUMMYFUNCTION("""COMPUTED_VALUE"""),"CEC")</f>
        <v>CEC</v>
      </c>
      <c r="C490" s="1" t="str">
        <f ca="1">IFERROR(__xludf.DUMMYFUNCTION("""COMPUTED_VALUE"""),"lx819234517us")</f>
        <v>lx819234517us</v>
      </c>
      <c r="D490" s="1" t="str">
        <f ca="1">IFERROR(__xludf.DUMMYFUNCTION("""COMPUTED_VALUE"""),"thanapong")</f>
        <v>thanapong</v>
      </c>
      <c r="E490" s="1" t="str">
        <f ca="1">IFERROR(__xludf.DUMMYFUNCTION("""COMPUTED_VALUE"""),"086-5735574")</f>
        <v>086-5735574</v>
      </c>
      <c r="F490" s="1" t="str">
        <f ca="1">IFERROR(__xludf.DUMMYFUNCTION("""COMPUTED_VALUE"""),"24 ผการัตน์แมนชั่น ซ.บางนา ตราด36")</f>
        <v>24 ผการัตน์แมนชั่น ซ.บางนา ตราด36</v>
      </c>
      <c r="G490" s="1" t="str">
        <f ca="1">IFERROR(__xludf.DUMMYFUNCTION("""COMPUTED_VALUE"""),"ตรวจสอบการนำจ่าย")</f>
        <v>ตรวจสอบการนำจ่าย</v>
      </c>
      <c r="H490" s="1" t="str">
        <f ca="1">IFERROR(__xludf.DUMMYFUNCTION("""COMPUTED_VALUE"""),"-")</f>
        <v>-</v>
      </c>
      <c r="I490" s="1" t="str">
        <f ca="1">IFERROR(__xludf.DUMMYFUNCTION("""COMPUTED_VALUE"""),"-")</f>
        <v>-</v>
      </c>
      <c r="J490" s="1" t="str">
        <f ca="1">IFERROR(__xludf.DUMMYFUNCTION("""COMPUTED_VALUE"""),"DB1")</f>
        <v>DB1</v>
      </c>
      <c r="K490" s="1" t="str">
        <f ca="1">IFERROR(__xludf.DUMMYFUNCTION("""COMPUTED_VALUE"""),"ems10260evd1032")</f>
        <v>ems10260evd1032</v>
      </c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 ht="15.75" customHeight="1" x14ac:dyDescent="0.2">
      <c r="A491" s="8">
        <f ca="1">IFERROR(__xludf.DUMMYFUNCTION("""COMPUTED_VALUE"""),45290.6541400578)</f>
        <v>45290.654140057799</v>
      </c>
      <c r="B491" s="1" t="str">
        <f ca="1">IFERROR(__xludf.DUMMYFUNCTION("""COMPUTED_VALUE"""),"CEC")</f>
        <v>CEC</v>
      </c>
      <c r="C491" s="1" t="str">
        <f ca="1">IFERROR(__xludf.DUMMYFUNCTION("""COMPUTED_VALUE"""),"ed120719346th")</f>
        <v>ed120719346th</v>
      </c>
      <c r="D491" s="1" t="str">
        <f ca="1">IFERROR(__xludf.DUMMYFUNCTION("""COMPUTED_VALUE"""),"pongsakon")</f>
        <v>pongsakon</v>
      </c>
      <c r="E491" s="1" t="str">
        <f ca="1">IFERROR(__xludf.DUMMYFUNCTION("""COMPUTED_VALUE"""),"096-3178442 ผู้รับ / 064-8035346 ผู้ส่ง")</f>
        <v>096-3178442 ผู้รับ / 064-8035346 ผู้ส่ง</v>
      </c>
      <c r="F491" s="1" t="str">
        <f ca="1">IFERROR(__xludf.DUMMYFUNCTION("""COMPUTED_VALUE"""),"25 ผการัตน์แมนชั่น อุดมสุข 7 ซ.103")</f>
        <v>25 ผการัตน์แมนชั่น อุดมสุข 7 ซ.103</v>
      </c>
      <c r="G491" s="1" t="str">
        <f ca="1">IFERROR(__xludf.DUMMYFUNCTION("""COMPUTED_VALUE"""),"ตรวจสอบการนำจ่าย")</f>
        <v>ตรวจสอบการนำจ่าย</v>
      </c>
      <c r="H491" s="1" t="str">
        <f ca="1">IFERROR(__xludf.DUMMYFUNCTION("""COMPUTED_VALUE"""),"-")</f>
        <v>-</v>
      </c>
      <c r="I491" s="1" t="str">
        <f ca="1">IFERROR(__xludf.DUMMYFUNCTION("""COMPUTED_VALUE"""),"-")</f>
        <v>-</v>
      </c>
      <c r="J491" s="1" t="str">
        <f ca="1">IFERROR(__xludf.DUMMYFUNCTION("""COMPUTED_VALUE"""),"DB2")</f>
        <v>DB2</v>
      </c>
      <c r="K491" s="1" t="str">
        <f ca="1">IFERROR(__xludf.DUMMYFUNCTION("""COMPUTED_VALUE"""),"ems10260evd2020")</f>
        <v>ems10260evd2020</v>
      </c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 ht="15.75" customHeight="1" x14ac:dyDescent="0.2">
      <c r="A492" s="8">
        <f ca="1">IFERROR(__xludf.DUMMYFUNCTION("""COMPUTED_VALUE"""),45292.4786011805)</f>
        <v>45292.478601180497</v>
      </c>
      <c r="B492" s="1" t="str">
        <f ca="1">IFERROR(__xludf.DUMMYFUNCTION("""COMPUTED_VALUE"""),"CEC")</f>
        <v>CEC</v>
      </c>
      <c r="C492" s="1" t="str">
        <f ca="1">IFERROR(__xludf.DUMMYFUNCTION("""COMPUTED_VALUE"""),"eb959035432th")</f>
        <v>eb959035432th</v>
      </c>
      <c r="D492" s="1" t="str">
        <f ca="1">IFERROR(__xludf.DUMMYFUNCTION("""COMPUTED_VALUE"""),"ศุรภา")</f>
        <v>ศุรภา</v>
      </c>
      <c r="E492" s="1" t="str">
        <f ca="1">IFERROR(__xludf.DUMMYFUNCTION("""COMPUTED_VALUE"""),"085-4998887")</f>
        <v>085-4998887</v>
      </c>
      <c r="F492" s="1" t="str">
        <f ca="1">IFERROR(__xludf.DUMMYFUNCTION("""COMPUTED_VALUE"""),"8/62 คอนโดลุมพินีสุขุมวิท105 ลาซาน57")</f>
        <v>8/62 คอนโดลุมพินีสุขุมวิท105 ลาซาน57</v>
      </c>
      <c r="G492" s="1" t="str">
        <f ca="1">IFERROR(__xludf.DUMMYFUNCTION("""COMPUTED_VALUE"""),"นำจ่ายใหม่")</f>
        <v>นำจ่ายใหม่</v>
      </c>
      <c r="H492" s="1" t="str">
        <f ca="1">IFERROR(__xludf.DUMMYFUNCTION("""COMPUTED_VALUE"""),"-")</f>
        <v>-</v>
      </c>
      <c r="I492" s="1" t="str">
        <f ca="1">IFERROR(__xludf.DUMMYFUNCTION("""COMPUTED_VALUE"""),"-")</f>
        <v>-</v>
      </c>
      <c r="J492" s="1" t="str">
        <f ca="1">IFERROR(__xludf.DUMMYFUNCTION("""COMPUTED_VALUE"""),"DB1")</f>
        <v>DB1</v>
      </c>
      <c r="K492" s="1" t="str">
        <f ca="1">IFERROR(__xludf.DUMMYFUNCTION("""COMPUTED_VALUE"""),"ems10260evd1004")</f>
        <v>ems10260evd1004</v>
      </c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 ht="15.75" customHeight="1" x14ac:dyDescent="0.2">
      <c r="A493" s="8">
        <f ca="1">IFERROR(__xludf.DUMMYFUNCTION("""COMPUTED_VALUE"""),45292.4812060995)</f>
        <v>45292.481206099503</v>
      </c>
      <c r="B493" s="1" t="str">
        <f ca="1">IFERROR(__xludf.DUMMYFUNCTION("""COMPUTED_VALUE"""),"CEC")</f>
        <v>CEC</v>
      </c>
      <c r="C493" s="1" t="str">
        <f ca="1">IFERROR(__xludf.DUMMYFUNCTION("""COMPUTED_VALUE"""),"ed138531765th")</f>
        <v>ed138531765th</v>
      </c>
      <c r="D493" s="1" t="str">
        <f ca="1">IFERROR(__xludf.DUMMYFUNCTION("""COMPUTED_VALUE"""),"อโณทัย")</f>
        <v>อโณทัย</v>
      </c>
      <c r="E493" s="1" t="str">
        <f ca="1">IFERROR(__xludf.DUMMYFUNCTION("""COMPUTED_VALUE"""),"064-1463223")</f>
        <v>064-1463223</v>
      </c>
      <c r="F493" s="1" t="str">
        <f ca="1">IFERROR(__xludf.DUMMYFUNCTION("""COMPUTED_VALUE"""),"549/212 คอนโโลุมพินีสุขุมวิท105 ตึกบี")</f>
        <v>549/212 คอนโโลุมพินีสุขุมวิท105 ตึกบี</v>
      </c>
      <c r="G493" s="1" t="str">
        <f ca="1">IFERROR(__xludf.DUMMYFUNCTION("""COMPUTED_VALUE"""),"นำจ่ายใหม่")</f>
        <v>นำจ่ายใหม่</v>
      </c>
      <c r="H493" s="1" t="str">
        <f ca="1">IFERROR(__xludf.DUMMYFUNCTION("""COMPUTED_VALUE"""),"-")</f>
        <v>-</v>
      </c>
      <c r="I493" s="1" t="str">
        <f ca="1">IFERROR(__xludf.DUMMYFUNCTION("""COMPUTED_VALUE"""),"-")</f>
        <v>-</v>
      </c>
      <c r="J493" s="1" t="str">
        <f ca="1">IFERROR(__xludf.DUMMYFUNCTION("""COMPUTED_VALUE"""),"นำจ่ายรถยนต์")</f>
        <v>นำจ่ายรถยนต์</v>
      </c>
      <c r="K493" s="1" t="str">
        <f ca="1">IFERROR(__xludf.DUMMYFUNCTION("""COMPUTED_VALUE"""),"car10260evd5005")</f>
        <v>car10260evd5005</v>
      </c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 ht="15.75" customHeight="1" x14ac:dyDescent="0.2">
      <c r="A494" s="8">
        <f ca="1">IFERROR(__xludf.DUMMYFUNCTION("""COMPUTED_VALUE"""),45292.4821062962)</f>
        <v>45292.4821062962</v>
      </c>
      <c r="B494" s="1" t="str">
        <f ca="1">IFERROR(__xludf.DUMMYFUNCTION("""COMPUTED_VALUE"""),"CEC")</f>
        <v>CEC</v>
      </c>
      <c r="C494" s="1" t="str">
        <f ca="1">IFERROR(__xludf.DUMMYFUNCTION("""COMPUTED_VALUE"""),"eb959035432th")</f>
        <v>eb959035432th</v>
      </c>
      <c r="D494" s="1" t="str">
        <f ca="1">IFERROR(__xludf.DUMMYFUNCTION("""COMPUTED_VALUE"""),"ศุรภา")</f>
        <v>ศุรภา</v>
      </c>
      <c r="E494" s="1" t="str">
        <f ca="1">IFERROR(__xludf.DUMMYFUNCTION("""COMPUTED_VALUE"""),"085-4998887")</f>
        <v>085-4998887</v>
      </c>
      <c r="F494" s="1" t="str">
        <f ca="1">IFERROR(__xludf.DUMMYFUNCTION("""COMPUTED_VALUE"""),"8/62 คอนโดโบสุขุมวิท105 ลาซาน57")</f>
        <v>8/62 คอนโดโบสุขุมวิท105 ลาซาน57</v>
      </c>
      <c r="G494" s="1" t="str">
        <f ca="1">IFERROR(__xludf.DUMMYFUNCTION("""COMPUTED_VALUE"""),"นำจ่ายใหม่")</f>
        <v>นำจ่ายใหม่</v>
      </c>
      <c r="H494" s="1" t="str">
        <f ca="1">IFERROR(__xludf.DUMMYFUNCTION("""COMPUTED_VALUE"""),"-")</f>
        <v>-</v>
      </c>
      <c r="I494" s="1" t="str">
        <f ca="1">IFERROR(__xludf.DUMMYFUNCTION("""COMPUTED_VALUE"""),"-")</f>
        <v>-</v>
      </c>
      <c r="J494" s="1" t="str">
        <f ca="1">IFERROR(__xludf.DUMMYFUNCTION("""COMPUTED_VALUE"""),"DB1")</f>
        <v>DB1</v>
      </c>
      <c r="K494" s="1" t="str">
        <f ca="1">IFERROR(__xludf.DUMMYFUNCTION("""COMPUTED_VALUE"""),"ems10260evd1004")</f>
        <v>ems10260evd1004</v>
      </c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ht="15.75" customHeight="1" x14ac:dyDescent="0.2">
      <c r="A495" s="8">
        <f ca="1">IFERROR(__xludf.DUMMYFUNCTION("""COMPUTED_VALUE"""),45292.5089080555)</f>
        <v>45292.508908055497</v>
      </c>
      <c r="B495" s="1" t="str">
        <f ca="1">IFERROR(__xludf.DUMMYFUNCTION("""COMPUTED_VALUE"""),"CEC")</f>
        <v>CEC</v>
      </c>
      <c r="C495" s="1" t="str">
        <f ca="1">IFERROR(__xludf.DUMMYFUNCTION("""COMPUTED_VALUE"""),"ed145088141th")</f>
        <v>ed145088141th</v>
      </c>
      <c r="D495" s="1" t="str">
        <f ca="1">IFERROR(__xludf.DUMMYFUNCTION("""COMPUTED_VALUE"""),"ณปภัช")</f>
        <v>ณปภัช</v>
      </c>
      <c r="E495" s="1" t="str">
        <f ca="1">IFERROR(__xludf.DUMMYFUNCTION("""COMPUTED_VALUE"""),"061-9295914")</f>
        <v>061-9295914</v>
      </c>
      <c r="F495" s="1" t="str">
        <f ca="1">IFERROR(__xludf.DUMMYFUNCTION("""COMPUTED_VALUE"""),"333/102 คอนโดบางนาเพลส สรรพาวุธ")</f>
        <v>333/102 คอนโดบางนาเพลส สรรพาวุธ</v>
      </c>
      <c r="G495" s="1" t="str">
        <f ca="1">IFERROR(__xludf.DUMMYFUNCTION("""COMPUTED_VALUE"""),"นำจ่ายใหม่")</f>
        <v>นำจ่ายใหม่</v>
      </c>
      <c r="H495" s="1" t="str">
        <f ca="1">IFERROR(__xludf.DUMMYFUNCTION("""COMPUTED_VALUE"""),"-")</f>
        <v>-</v>
      </c>
      <c r="I495" s="1" t="str">
        <f ca="1">IFERROR(__xludf.DUMMYFUNCTION("""COMPUTED_VALUE"""),"-")</f>
        <v>-</v>
      </c>
      <c r="J495" s="1" t="str">
        <f ca="1">IFERROR(__xludf.DUMMYFUNCTION("""COMPUTED_VALUE"""),"DB1")</f>
        <v>DB1</v>
      </c>
      <c r="K495" s="1" t="str">
        <f ca="1">IFERROR(__xludf.DUMMYFUNCTION("""COMPUTED_VALUE"""),"ems10260evd1004")</f>
        <v>ems10260evd1004</v>
      </c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ht="15.75" customHeight="1" x14ac:dyDescent="0.2">
      <c r="A496" s="8">
        <f ca="1">IFERROR(__xludf.DUMMYFUNCTION("""COMPUTED_VALUE"""),45292.5098279629)</f>
        <v>45292.509827962902</v>
      </c>
      <c r="B496" s="1" t="str">
        <f ca="1">IFERROR(__xludf.DUMMYFUNCTION("""COMPUTED_VALUE"""),"CEC")</f>
        <v>CEC</v>
      </c>
      <c r="C496" s="1" t="str">
        <f ca="1">IFERROR(__xludf.DUMMYFUNCTION("""COMPUTED_VALUE"""),"ed145150229th")</f>
        <v>ed145150229th</v>
      </c>
      <c r="D496" s="1" t="str">
        <f ca="1">IFERROR(__xludf.DUMMYFUNCTION("""COMPUTED_VALUE"""),"พิชานันท์")</f>
        <v>พิชานันท์</v>
      </c>
      <c r="E496" s="1" t="str">
        <f ca="1">IFERROR(__xludf.DUMMYFUNCTION("""COMPUTED_VALUE"""),"095-4358630")</f>
        <v>095-4358630</v>
      </c>
      <c r="F496" s="1" t="str">
        <f ca="1">IFERROR(__xludf.DUMMYFUNCTION("""COMPUTED_VALUE"""),"26 คอนโดมายด์เฮ้าส์ ซงปุณณ 11 ซ.101")</f>
        <v>26 คอนโดมายด์เฮ้าส์ ซงปุณณ 11 ซ.101</v>
      </c>
      <c r="G496" s="1" t="str">
        <f ca="1">IFERROR(__xludf.DUMMYFUNCTION("""COMPUTED_VALUE"""),"นำจ่ายใหม่")</f>
        <v>นำจ่ายใหม่</v>
      </c>
      <c r="H496" s="1" t="str">
        <f ca="1">IFERROR(__xludf.DUMMYFUNCTION("""COMPUTED_VALUE"""),"-")</f>
        <v>-</v>
      </c>
      <c r="I496" s="1" t="str">
        <f ca="1">IFERROR(__xludf.DUMMYFUNCTION("""COMPUTED_VALUE"""),"-")</f>
        <v>-</v>
      </c>
      <c r="J496" s="1" t="str">
        <f ca="1">IFERROR(__xludf.DUMMYFUNCTION("""COMPUTED_VALUE"""),"DB3")</f>
        <v>DB3</v>
      </c>
      <c r="K496" s="1" t="str">
        <f ca="1">IFERROR(__xludf.DUMMYFUNCTION("""COMPUTED_VALUE"""),"ems10260evd3015")</f>
        <v>ems10260evd3015</v>
      </c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 ht="15.75" customHeight="1" x14ac:dyDescent="0.2">
      <c r="A497" s="8">
        <f ca="1">IFERROR(__xludf.DUMMYFUNCTION("""COMPUTED_VALUE"""),45292.5187133449)</f>
        <v>45292.5187133449</v>
      </c>
      <c r="B497" s="1" t="str">
        <f ca="1">IFERROR(__xludf.DUMMYFUNCTION("""COMPUTED_VALUE"""),"CEC")</f>
        <v>CEC</v>
      </c>
      <c r="C497" s="1" t="str">
        <f ca="1">IFERROR(__xludf.DUMMYFUNCTION("""COMPUTED_VALUE"""),"em190009255th")</f>
        <v>em190009255th</v>
      </c>
      <c r="D497" s="1" t="str">
        <f ca="1">IFERROR(__xludf.DUMMYFUNCTION("""COMPUTED_VALUE"""),"มัญชุวีร์")</f>
        <v>มัญชุวีร์</v>
      </c>
      <c r="E497" s="1" t="str">
        <f ca="1">IFERROR(__xludf.DUMMYFUNCTION("""COMPUTED_VALUE"""),"083-1226978")</f>
        <v>083-1226978</v>
      </c>
      <c r="F497" s="1" t="str">
        <f ca="1">IFERROR(__xludf.DUMMYFUNCTION("""COMPUTED_VALUE"""),"195/543 คอนโดไอดิโอโอทู สรรพาวุธ")</f>
        <v>195/543 คอนโดไอดิโอโอทู สรรพาวุธ</v>
      </c>
      <c r="G497" s="1" t="str">
        <f ca="1">IFERROR(__xludf.DUMMYFUNCTION("""COMPUTED_VALUE"""),"นำจ่ายใหม่")</f>
        <v>นำจ่ายใหม่</v>
      </c>
      <c r="H497" s="1" t="str">
        <f ca="1">IFERROR(__xludf.DUMMYFUNCTION("""COMPUTED_VALUE"""),"-")</f>
        <v>-</v>
      </c>
      <c r="I497" s="1" t="str">
        <f ca="1">IFERROR(__xludf.DUMMYFUNCTION("""COMPUTED_VALUE"""),"-")</f>
        <v>-</v>
      </c>
      <c r="J497" s="1" t="str">
        <f ca="1">IFERROR(__xludf.DUMMYFUNCTION("""COMPUTED_VALUE"""),"นำจ่ายรถยนต์")</f>
        <v>นำจ่ายรถยนต์</v>
      </c>
      <c r="K497" s="1" t="str">
        <f ca="1">IFERROR(__xludf.DUMMYFUNCTION("""COMPUTED_VALUE"""),"car10260evd5004")</f>
        <v>car10260evd5004</v>
      </c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 ht="15.75" customHeight="1" x14ac:dyDescent="0.2">
      <c r="A498" s="8">
        <f ca="1">IFERROR(__xludf.DUMMYFUNCTION("""COMPUTED_VALUE"""),45292.5200415972)</f>
        <v>45292.520041597199</v>
      </c>
      <c r="B498" s="1" t="str">
        <f ca="1">IFERROR(__xludf.DUMMYFUNCTION("""COMPUTED_VALUE"""),"CEC")</f>
        <v>CEC</v>
      </c>
      <c r="C498" s="1" t="str">
        <f ca="1">IFERROR(__xludf.DUMMYFUNCTION("""COMPUTED_VALUE"""),"ed836849935th")</f>
        <v>ed836849935th</v>
      </c>
      <c r="D498" s="1" t="str">
        <f ca="1">IFERROR(__xludf.DUMMYFUNCTION("""COMPUTED_VALUE"""),"ติณณา")</f>
        <v>ติณณา</v>
      </c>
      <c r="E498" s="1" t="str">
        <f ca="1">IFERROR(__xludf.DUMMYFUNCTION("""COMPUTED_VALUE"""),"091-8725450")</f>
        <v>091-8725450</v>
      </c>
      <c r="F498" s="1" t="str">
        <f ca="1">IFERROR(__xludf.DUMMYFUNCTION("""COMPUTED_VALUE"""),"2099/10 คอนโดไอดิโอ  สุขุมวิท 81")</f>
        <v>2099/10 คอนโดไอดิโอ  สุขุมวิท 81</v>
      </c>
      <c r="G498" s="1" t="str">
        <f ca="1">IFERROR(__xludf.DUMMYFUNCTION("""COMPUTED_VALUE"""),"นำจ่ายใหม่")</f>
        <v>นำจ่ายใหม่</v>
      </c>
      <c r="H498" s="1" t="str">
        <f ca="1">IFERROR(__xludf.DUMMYFUNCTION("""COMPUTED_VALUE"""),"-")</f>
        <v>-</v>
      </c>
      <c r="I498" s="1" t="str">
        <f ca="1">IFERROR(__xludf.DUMMYFUNCTION("""COMPUTED_VALUE"""),"-")</f>
        <v>-</v>
      </c>
      <c r="J498" s="1" t="str">
        <f ca="1">IFERROR(__xludf.DUMMYFUNCTION("""COMPUTED_VALUE"""),"นำจ่ายรถยนต์")</f>
        <v>นำจ่ายรถยนต์</v>
      </c>
      <c r="K498" s="1" t="str">
        <f ca="1">IFERROR(__xludf.DUMMYFUNCTION("""COMPUTED_VALUE"""),"car10260evd5013")</f>
        <v>car10260evd5013</v>
      </c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 ht="15.75" customHeight="1" x14ac:dyDescent="0.2">
      <c r="A499" s="8">
        <f ca="1">IFERROR(__xludf.DUMMYFUNCTION("""COMPUTED_VALUE"""),45292.5208723148)</f>
        <v>45292.520872314803</v>
      </c>
      <c r="B499" s="1" t="str">
        <f ca="1">IFERROR(__xludf.DUMMYFUNCTION("""COMPUTED_VALUE"""),"CEC")</f>
        <v>CEC</v>
      </c>
      <c r="C499" s="1" t="str">
        <f ca="1">IFERROR(__xludf.DUMMYFUNCTION("""COMPUTED_VALUE"""),"eb078676536th")</f>
        <v>eb078676536th</v>
      </c>
      <c r="D499" s="1" t="str">
        <f ca="1">IFERROR(__xludf.DUMMYFUNCTION("""COMPUTED_VALUE"""),"ฟัยซัล")</f>
        <v>ฟัยซัล</v>
      </c>
      <c r="E499" s="1" t="str">
        <f ca="1">IFERROR(__xludf.DUMMYFUNCTION("""COMPUTED_VALUE"""),"098-8777121")</f>
        <v>098-8777121</v>
      </c>
      <c r="F499" s="1" t="str">
        <f ca="1">IFERROR(__xludf.DUMMYFUNCTION("""COMPUTED_VALUE"""),"1760 บ.เมโทรแมชชีนเนรี สุขุมวิท")</f>
        <v>1760 บ.เมโทรแมชชีนเนรี สุขุมวิท</v>
      </c>
      <c r="G499" s="1" t="str">
        <f ca="1">IFERROR(__xludf.DUMMYFUNCTION("""COMPUTED_VALUE"""),"นำจ่ายใหม่")</f>
        <v>นำจ่ายใหม่</v>
      </c>
      <c r="H499" s="1" t="str">
        <f ca="1">IFERROR(__xludf.DUMMYFUNCTION("""COMPUTED_VALUE"""),"-")</f>
        <v>-</v>
      </c>
      <c r="I499" s="1" t="str">
        <f ca="1">IFERROR(__xludf.DUMMYFUNCTION("""COMPUTED_VALUE"""),"-")</f>
        <v>-</v>
      </c>
      <c r="J499" s="1" t="str">
        <f ca="1">IFERROR(__xludf.DUMMYFUNCTION("""COMPUTED_VALUE"""),"นำจ่ายรถยนต์")</f>
        <v>นำจ่ายรถยนต์</v>
      </c>
      <c r="K499" s="1" t="str">
        <f ca="1">IFERROR(__xludf.DUMMYFUNCTION("""COMPUTED_VALUE"""),"car10260evd5001")</f>
        <v>car10260evd5001</v>
      </c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 ht="15.75" customHeight="1" x14ac:dyDescent="0.2">
      <c r="A500" s="8">
        <f ca="1">IFERROR(__xludf.DUMMYFUNCTION("""COMPUTED_VALUE"""),45292.5259301157)</f>
        <v>45292.525930115698</v>
      </c>
      <c r="B500" s="1" t="str">
        <f ca="1">IFERROR(__xludf.DUMMYFUNCTION("""COMPUTED_VALUE"""),"On Queue")</f>
        <v>On Queue</v>
      </c>
      <c r="C500" s="1" t="str">
        <f ca="1">IFERROR(__xludf.DUMMYFUNCTION("""COMPUTED_VALUE"""),"ry711799135th")</f>
        <v>ry711799135th</v>
      </c>
      <c r="D500" s="1" t="str">
        <f ca="1">IFERROR(__xludf.DUMMYFUNCTION("""COMPUTED_VALUE"""),"ภูริมปัด ")</f>
        <v xml:space="preserve">ภูริมปัด </v>
      </c>
      <c r="E500" s="1" t="str">
        <f ca="1">IFERROR(__xludf.DUMMYFUNCTION("""COMPUTED_VALUE"""),"061-7949236")</f>
        <v>061-7949236</v>
      </c>
      <c r="F500" s="1" t="str">
        <f ca="1">IFERROR(__xludf.DUMMYFUNCTION("""COMPUTED_VALUE"""),"208/5 ซ.ร่มโพธิ์ สรรพาวุธ")</f>
        <v>208/5 ซ.ร่มโพธิ์ สรรพาวุธ</v>
      </c>
      <c r="G500" s="1" t="str">
        <f ca="1">IFERROR(__xludf.DUMMYFUNCTION("""COMPUTED_VALUE"""),"นำจ่ายใหม่")</f>
        <v>นำจ่ายใหม่</v>
      </c>
      <c r="H500" s="1" t="str">
        <f ca="1">IFERROR(__xludf.DUMMYFUNCTION("""COMPUTED_VALUE"""),"-")</f>
        <v>-</v>
      </c>
      <c r="I500" s="1" t="str">
        <f ca="1">IFERROR(__xludf.DUMMYFUNCTION("""COMPUTED_VALUE"""),"-")</f>
        <v>-</v>
      </c>
      <c r="J500" s="1" t="str">
        <f ca="1">IFERROR(__xludf.DUMMYFUNCTION("""COMPUTED_VALUE"""),"DB1")</f>
        <v>DB1</v>
      </c>
      <c r="K500" s="1" t="str">
        <f ca="1">IFERROR(__xludf.DUMMYFUNCTION("""COMPUTED_VALUE"""),"ema10260evd1004")</f>
        <v>ema10260evd1004</v>
      </c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 ht="15.75" customHeight="1" x14ac:dyDescent="0.2">
      <c r="A501" s="8">
        <f ca="1">IFERROR(__xludf.DUMMYFUNCTION("""COMPUTED_VALUE"""),45292.5272933449)</f>
        <v>45292.527293344901</v>
      </c>
      <c r="B501" s="1" t="str">
        <f ca="1">IFERROR(__xludf.DUMMYFUNCTION("""COMPUTED_VALUE"""),"CEC")</f>
        <v>CEC</v>
      </c>
      <c r="C501" s="1" t="str">
        <f ca="1">IFERROR(__xludf.DUMMYFUNCTION("""COMPUTED_VALUE"""),"ed116498921th")</f>
        <v>ed116498921th</v>
      </c>
      <c r="D501" s="1" t="str">
        <f ca="1">IFERROR(__xludf.DUMMYFUNCTION("""COMPUTED_VALUE"""),"สุปราณี ")</f>
        <v xml:space="preserve">สุปราณี </v>
      </c>
      <c r="E501" s="1" t="str">
        <f ca="1">IFERROR(__xludf.DUMMYFUNCTION("""COMPUTED_VALUE"""),"091-5665514")</f>
        <v>091-5665514</v>
      </c>
      <c r="F501" s="1" t="str">
        <f ca="1">IFERROR(__xludf.DUMMYFUNCTION("""COMPUTED_VALUE"""),"25/67 (ทาวน์เอ็าส์ ซ.พึ่งมี 50/29")</f>
        <v>25/67 (ทาวน์เอ็าส์ ซ.พึ่งมี 50/29</v>
      </c>
      <c r="G501" s="1" t="str">
        <f ca="1">IFERROR(__xludf.DUMMYFUNCTION("""COMPUTED_VALUE"""),"นำจ่ายใหม่")</f>
        <v>นำจ่ายใหม่</v>
      </c>
      <c r="H501" s="1" t="str">
        <f ca="1">IFERROR(__xludf.DUMMYFUNCTION("""COMPUTED_VALUE"""),"-")</f>
        <v>-</v>
      </c>
      <c r="I501" s="1" t="str">
        <f ca="1">IFERROR(__xludf.DUMMYFUNCTION("""COMPUTED_VALUE"""),"-")</f>
        <v>-</v>
      </c>
      <c r="J501" s="1" t="str">
        <f ca="1">IFERROR(__xludf.DUMMYFUNCTION("""COMPUTED_VALUE"""),"DB3")</f>
        <v>DB3</v>
      </c>
      <c r="K501" s="1" t="str">
        <f ca="1">IFERROR(__xludf.DUMMYFUNCTION("""COMPUTED_VALUE"""),"ems10260evd3003")</f>
        <v>ems10260evd3003</v>
      </c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 ht="15.75" customHeight="1" x14ac:dyDescent="0.2">
      <c r="A502" s="8">
        <f ca="1">IFERROR(__xludf.DUMMYFUNCTION("""COMPUTED_VALUE"""),45292.5282525115)</f>
        <v>45292.528252511504</v>
      </c>
      <c r="B502" s="1" t="str">
        <f ca="1">IFERROR(__xludf.DUMMYFUNCTION("""COMPUTED_VALUE"""),"CEC")</f>
        <v>CEC</v>
      </c>
      <c r="C502" s="1" t="str">
        <f ca="1">IFERROR(__xludf.DUMMYFUNCTION("""COMPUTED_VALUE"""),"en5441858806th")</f>
        <v>en5441858806th</v>
      </c>
      <c r="D502" s="1" t="str">
        <f ca="1">IFERROR(__xludf.DUMMYFUNCTION("""COMPUTED_VALUE"""),"ณัชชา")</f>
        <v>ณัชชา</v>
      </c>
      <c r="E502" s="1" t="str">
        <f ca="1">IFERROR(__xludf.DUMMYFUNCTION("""COMPUTED_VALUE"""),"089-4511491")</f>
        <v>089-4511491</v>
      </c>
      <c r="F502" s="1" t="str">
        <f ca="1">IFERROR(__xludf.DUMMYFUNCTION("""COMPUTED_VALUE"""),"124 (ตึกแถว) ซอย.สุขุมวิท101/2")</f>
        <v>124 (ตึกแถว) ซอย.สุขุมวิท101/2</v>
      </c>
      <c r="G502" s="1" t="str">
        <f ca="1">IFERROR(__xludf.DUMMYFUNCTION("""COMPUTED_VALUE"""),"นำจ่ายใหม่")</f>
        <v>นำจ่ายใหม่</v>
      </c>
      <c r="H502" s="1" t="str">
        <f ca="1">IFERROR(__xludf.DUMMYFUNCTION("""COMPUTED_VALUE"""),"-")</f>
        <v>-</v>
      </c>
      <c r="I502" s="1" t="str">
        <f ca="1">IFERROR(__xludf.DUMMYFUNCTION("""COMPUTED_VALUE"""),"-")</f>
        <v>-</v>
      </c>
      <c r="J502" s="1" t="str">
        <f ca="1">IFERROR(__xludf.DUMMYFUNCTION("""COMPUTED_VALUE"""),"DB2")</f>
        <v>DB2</v>
      </c>
      <c r="K502" s="1" t="str">
        <f ca="1">IFERROR(__xludf.DUMMYFUNCTION("""COMPUTED_VALUE"""),"ems10260evd2024")</f>
        <v>ems10260evd2024</v>
      </c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 ht="15.75" customHeight="1" x14ac:dyDescent="0.2">
      <c r="A503" s="8">
        <f ca="1">IFERROR(__xludf.DUMMYFUNCTION("""COMPUTED_VALUE"""),45292.5339137384)</f>
        <v>45292.5339137384</v>
      </c>
      <c r="B503" s="1" t="str">
        <f ca="1">IFERROR(__xludf.DUMMYFUNCTION("""COMPUTED_VALUE"""),"CEC")</f>
        <v>CEC</v>
      </c>
      <c r="C503" s="1" t="str">
        <f ca="1">IFERROR(__xludf.DUMMYFUNCTION("""COMPUTED_VALUE"""),"ed138034465th")</f>
        <v>ed138034465th</v>
      </c>
      <c r="D503" s="1" t="str">
        <f ca="1">IFERROR(__xludf.DUMMYFUNCTION("""COMPUTED_VALUE"""),"จ่อม")</f>
        <v>จ่อม</v>
      </c>
      <c r="E503" s="1" t="str">
        <f ca="1">IFERROR(__xludf.DUMMYFUNCTION("""COMPUTED_VALUE"""),"083-8808998")</f>
        <v>083-8808998</v>
      </c>
      <c r="F503" s="1" t="str">
        <f ca="1">IFERROR(__xludf.DUMMYFUNCTION("""COMPUTED_VALUE"""),"7 เจเอส แมนชั่น อุดมสุข29 ซ.103")</f>
        <v>7 เจเอส แมนชั่น อุดมสุข29 ซ.103</v>
      </c>
      <c r="G503" s="1" t="str">
        <f ca="1">IFERROR(__xludf.DUMMYFUNCTION("""COMPUTED_VALUE"""),"นำจ่ายใหม่")</f>
        <v>นำจ่ายใหม่</v>
      </c>
      <c r="H503" s="1" t="str">
        <f ca="1">IFERROR(__xludf.DUMMYFUNCTION("""COMPUTED_VALUE"""),"-")</f>
        <v>-</v>
      </c>
      <c r="I503" s="1" t="str">
        <f ca="1">IFERROR(__xludf.DUMMYFUNCTION("""COMPUTED_VALUE"""),"-")</f>
        <v>-</v>
      </c>
      <c r="J503" s="1" t="str">
        <f ca="1">IFERROR(__xludf.DUMMYFUNCTION("""COMPUTED_VALUE"""),"DB2")</f>
        <v>DB2</v>
      </c>
      <c r="K503" s="1" t="str">
        <f ca="1">IFERROR(__xludf.DUMMYFUNCTION("""COMPUTED_VALUE"""),"ema10260evd2024")</f>
        <v>ema10260evd2024</v>
      </c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 ht="15.75" customHeight="1" x14ac:dyDescent="0.2">
      <c r="A504" s="8">
        <f ca="1">IFERROR(__xludf.DUMMYFUNCTION("""COMPUTED_VALUE"""),45292.5352444907)</f>
        <v>45292.535244490697</v>
      </c>
      <c r="B504" s="1" t="str">
        <f ca="1">IFERROR(__xludf.DUMMYFUNCTION("""COMPUTED_VALUE"""),"CEC")</f>
        <v>CEC</v>
      </c>
      <c r="C504" s="1" t="str">
        <f ca="1">IFERROR(__xludf.DUMMYFUNCTION("""COMPUTED_VALUE"""),"em475847056th")</f>
        <v>em475847056th</v>
      </c>
      <c r="D504" s="1" t="str">
        <f ca="1">IFERROR(__xludf.DUMMYFUNCTION("""COMPUTED_VALUE"""),"ศิริพร")</f>
        <v>ศิริพร</v>
      </c>
      <c r="E504" s="1" t="str">
        <f ca="1">IFERROR(__xludf.DUMMYFUNCTION("""COMPUTED_VALUE"""),"084-4586504")</f>
        <v>084-4586504</v>
      </c>
      <c r="F504" s="1" t="str">
        <f ca="1">IFERROR(__xludf.DUMMYFUNCTION("""COMPUTED_VALUE"""),"9 ซ.สุขุวิท 62 แยก 4")</f>
        <v>9 ซ.สุขุวิท 62 แยก 4</v>
      </c>
      <c r="G504" s="1" t="str">
        <f ca="1">IFERROR(__xludf.DUMMYFUNCTION("""COMPUTED_VALUE"""),"นำจ่ายใหม่")</f>
        <v>นำจ่ายใหม่</v>
      </c>
      <c r="H504" s="1" t="str">
        <f ca="1">IFERROR(__xludf.DUMMYFUNCTION("""COMPUTED_VALUE"""),"-")</f>
        <v>-</v>
      </c>
      <c r="I504" s="1" t="str">
        <f ca="1">IFERROR(__xludf.DUMMYFUNCTION("""COMPUTED_VALUE"""),"-")</f>
        <v>-</v>
      </c>
      <c r="J504" s="1" t="str">
        <f ca="1">IFERROR(__xludf.DUMMYFUNCTION("""COMPUTED_VALUE"""),"DB4")</f>
        <v>DB4</v>
      </c>
      <c r="K504" s="1" t="str">
        <f ca="1">IFERROR(__xludf.DUMMYFUNCTION("""COMPUTED_VALUE"""),"ems10260evd4010")</f>
        <v>ems10260evd4010</v>
      </c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 ht="15.75" customHeight="1" x14ac:dyDescent="0.2">
      <c r="A505" s="8">
        <f ca="1">IFERROR(__xludf.DUMMYFUNCTION("""COMPUTED_VALUE"""),45292.6064678588)</f>
        <v>45292.606467858801</v>
      </c>
      <c r="B505" s="1" t="str">
        <f ca="1">IFERROR(__xludf.DUMMYFUNCTION("""COMPUTED_VALUE"""),"CEC")</f>
        <v>CEC</v>
      </c>
      <c r="C505" s="1" t="str">
        <f ca="1">IFERROR(__xludf.DUMMYFUNCTION("""COMPUTED_VALUE"""),"eb588744588th")</f>
        <v>eb588744588th</v>
      </c>
      <c r="D505" s="1" t="str">
        <f ca="1">IFERROR(__xludf.DUMMYFUNCTION("""COMPUTED_VALUE"""),"โบรันญา")</f>
        <v>โบรันญา</v>
      </c>
      <c r="E505" s="1" t="str">
        <f ca="1">IFERROR(__xludf.DUMMYFUNCTION("""COMPUTED_VALUE"""),"098-2603316 (พี่สาว)")</f>
        <v>098-2603316 (พี่สาว)</v>
      </c>
      <c r="F505" s="1" t="str">
        <f ca="1">IFERROR(__xludf.DUMMYFUNCTION("""COMPUTED_VALUE"""),"19/6 ร้านเริญสุดาข้าวมันเป็ด อุดมสุข 40/42")</f>
        <v>19/6 ร้านเริญสุดาข้าวมันเป็ด อุดมสุข 40/42</v>
      </c>
      <c r="G505" s="1" t="str">
        <f ca="1">IFERROR(__xludf.DUMMYFUNCTION("""COMPUTED_VALUE"""),"นำจ่ายใหม่")</f>
        <v>นำจ่ายใหม่</v>
      </c>
      <c r="H505" s="1" t="str">
        <f ca="1">IFERROR(__xludf.DUMMYFUNCTION("""COMPUTED_VALUE"""),"-")</f>
        <v>-</v>
      </c>
      <c r="I505" s="1" t="str">
        <f ca="1">IFERROR(__xludf.DUMMYFUNCTION("""COMPUTED_VALUE"""),"-")</f>
        <v>-</v>
      </c>
      <c r="J505" s="1" t="str">
        <f ca="1">IFERROR(__xludf.DUMMYFUNCTION("""COMPUTED_VALUE"""),"DB2")</f>
        <v>DB2</v>
      </c>
      <c r="K505" s="1" t="str">
        <f ca="1">IFERROR(__xludf.DUMMYFUNCTION("""COMPUTED_VALUE"""),"ems10260evd2018")</f>
        <v>ems10260evd2018</v>
      </c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 ht="15.75" customHeight="1" x14ac:dyDescent="0.2">
      <c r="A506" s="8">
        <f ca="1">IFERROR(__xludf.DUMMYFUNCTION("""COMPUTED_VALUE"""),45292.6109381481)</f>
        <v>45292.6109381481</v>
      </c>
      <c r="B506" s="1" t="str">
        <f ca="1">IFERROR(__xludf.DUMMYFUNCTION("""COMPUTED_VALUE"""),"CEC")</f>
        <v>CEC</v>
      </c>
      <c r="C506" s="1" t="str">
        <f ca="1">IFERROR(__xludf.DUMMYFUNCTION("""COMPUTED_VALUE"""),"em193181345th")</f>
        <v>em193181345th</v>
      </c>
      <c r="D506" s="1" t="str">
        <f ca="1">IFERROR(__xludf.DUMMYFUNCTION("""COMPUTED_VALUE"""),"มิ้นส์")</f>
        <v>มิ้นส์</v>
      </c>
      <c r="E506" s="1" t="str">
        <f ca="1">IFERROR(__xludf.DUMMYFUNCTION("""COMPUTED_VALUE"""),"064-9830883")</f>
        <v>064-9830883</v>
      </c>
      <c r="F506" s="1" t="str">
        <f ca="1">IFERROR(__xludf.DUMMYFUNCTION("""COMPUTED_VALUE"""),"910/112 บ้านมหาสิน ซ.สาธิต 28")</f>
        <v>910/112 บ้านมหาสิน ซ.สาธิต 28</v>
      </c>
      <c r="G506" s="1" t="str">
        <f ca="1">IFERROR(__xludf.DUMMYFUNCTION("""COMPUTED_VALUE"""),"นำจ่ายใหม่")</f>
        <v>นำจ่ายใหม่</v>
      </c>
      <c r="H506" s="1" t="str">
        <f ca="1">IFERROR(__xludf.DUMMYFUNCTION("""COMPUTED_VALUE"""),"-")</f>
        <v>-</v>
      </c>
      <c r="I506" s="1" t="str">
        <f ca="1">IFERROR(__xludf.DUMMYFUNCTION("""COMPUTED_VALUE"""),"-")</f>
        <v>-</v>
      </c>
      <c r="J506" s="1" t="str">
        <f ca="1">IFERROR(__xludf.DUMMYFUNCTION("""COMPUTED_VALUE"""),"DB2")</f>
        <v>DB2</v>
      </c>
      <c r="K506" s="1" t="str">
        <f ca="1">IFERROR(__xludf.DUMMYFUNCTION("""COMPUTED_VALUE"""),"ems10260evd2024")</f>
        <v>ems10260evd2024</v>
      </c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 ht="15.75" customHeight="1" x14ac:dyDescent="0.2">
      <c r="A507" s="8">
        <f ca="1">IFERROR(__xludf.DUMMYFUNCTION("""COMPUTED_VALUE"""),45292.6193353935)</f>
        <v>45292.619335393501</v>
      </c>
      <c r="B507" s="1" t="str">
        <f ca="1">IFERROR(__xludf.DUMMYFUNCTION("""COMPUTED_VALUE"""),"CEC")</f>
        <v>CEC</v>
      </c>
      <c r="C507" s="1" t="str">
        <f ca="1">IFERROR(__xludf.DUMMYFUNCTION("""COMPUTED_VALUE"""),"jf162817636th")</f>
        <v>jf162817636th</v>
      </c>
      <c r="D507" s="1" t="str">
        <f ca="1">IFERROR(__xludf.DUMMYFUNCTION("""COMPUTED_VALUE"""),"ชลธิชา")</f>
        <v>ชลธิชา</v>
      </c>
      <c r="E507" s="1" t="str">
        <f ca="1">IFERROR(__xludf.DUMMYFUNCTION("""COMPUTED_VALUE"""),"088-9249619")</f>
        <v>088-9249619</v>
      </c>
      <c r="F507" s="1" t="str">
        <f ca="1">IFERROR(__xludf.DUMMYFUNCTION("""COMPUTED_VALUE"""),"95/317 คอนโดเอลลิโอเดลเร ซ.64")</f>
        <v>95/317 คอนโดเอลลิโอเดลเร ซ.64</v>
      </c>
      <c r="G507" s="1" t="str">
        <f ca="1">IFERROR(__xludf.DUMMYFUNCTION("""COMPUTED_VALUE"""),"นำจ่ายใหม่")</f>
        <v>นำจ่ายใหม่</v>
      </c>
      <c r="H507" s="1" t="str">
        <f ca="1">IFERROR(__xludf.DUMMYFUNCTION("""COMPUTED_VALUE"""),"-")</f>
        <v>-</v>
      </c>
      <c r="I507" s="1" t="str">
        <f ca="1">IFERROR(__xludf.DUMMYFUNCTION("""COMPUTED_VALUE"""),"-")</f>
        <v>-</v>
      </c>
      <c r="J507" s="1" t="str">
        <f ca="1">IFERROR(__xludf.DUMMYFUNCTION("""COMPUTED_VALUE"""),"นำจ่ายรถยนต์")</f>
        <v>นำจ่ายรถยนต์</v>
      </c>
      <c r="K507" s="1" t="str">
        <f ca="1">IFERROR(__xludf.DUMMYFUNCTION("""COMPUTED_VALUE"""),"car10260evd5004")</f>
        <v>car10260evd5004</v>
      </c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 ht="15.75" customHeight="1" x14ac:dyDescent="0.2">
      <c r="A508" s="8">
        <f ca="1">IFERROR(__xludf.DUMMYFUNCTION("""COMPUTED_VALUE"""),45292.6208258449)</f>
        <v>45292.620825844897</v>
      </c>
      <c r="B508" s="1" t="str">
        <f ca="1">IFERROR(__xludf.DUMMYFUNCTION("""COMPUTED_VALUE"""),"CEC")</f>
        <v>CEC</v>
      </c>
      <c r="C508" s="1" t="str">
        <f ca="1">IFERROR(__xludf.DUMMYFUNCTION("""COMPUTED_VALUE"""),"ed150124924th")</f>
        <v>ed150124924th</v>
      </c>
      <c r="D508" s="1" t="str">
        <f ca="1">IFERROR(__xludf.DUMMYFUNCTION("""COMPUTED_VALUE"""),"tim")</f>
        <v>tim</v>
      </c>
      <c r="E508" s="1" t="str">
        <f ca="1">IFERROR(__xludf.DUMMYFUNCTION("""COMPUTED_VALUE"""),"095-8885 ผู้รับ/096-8054386 จนท.โรงแรม")</f>
        <v>095-8885 ผู้รับ/096-8054386 จนท.โรงแรม</v>
      </c>
      <c r="F508" s="1" t="str">
        <f ca="1">IFERROR(__xludf.DUMMYFUNCTION("""COMPUTED_VALUE"""),"71 โรงแรมออเรดโดเทล สุขุมวิท 97")</f>
        <v>71 โรงแรมออเรดโดเทล สุขุมวิท 97</v>
      </c>
      <c r="G508" s="1" t="str">
        <f ca="1">IFERROR(__xludf.DUMMYFUNCTION("""COMPUTED_VALUE"""),"นำจ่ายใหม่")</f>
        <v>นำจ่ายใหม่</v>
      </c>
      <c r="H508" s="1" t="str">
        <f ca="1">IFERROR(__xludf.DUMMYFUNCTION("""COMPUTED_VALUE"""),"-")</f>
        <v>-</v>
      </c>
      <c r="I508" s="1" t="str">
        <f ca="1">IFERROR(__xludf.DUMMYFUNCTION("""COMPUTED_VALUE"""),"-")</f>
        <v>-</v>
      </c>
      <c r="J508" s="1" t="str">
        <f ca="1">IFERROR(__xludf.DUMMYFUNCTION("""COMPUTED_VALUE"""),"นำจ่ายรถยนต์")</f>
        <v>นำจ่ายรถยนต์</v>
      </c>
      <c r="K508" s="1" t="str">
        <f ca="1">IFERROR(__xludf.DUMMYFUNCTION("""COMPUTED_VALUE"""),"car10260evd5004")</f>
        <v>car10260evd5004</v>
      </c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 ht="15.75" customHeight="1" x14ac:dyDescent="0.2">
      <c r="A509" s="8">
        <f ca="1">IFERROR(__xludf.DUMMYFUNCTION("""COMPUTED_VALUE"""),45292.6387559143)</f>
        <v>45292.638755914297</v>
      </c>
      <c r="B509" s="1" t="str">
        <f ca="1">IFERROR(__xludf.DUMMYFUNCTION("""COMPUTED_VALUE"""),"CEC")</f>
        <v>CEC</v>
      </c>
      <c r="C509" s="1" t="str">
        <f ca="1">IFERROR(__xludf.DUMMYFUNCTION("""COMPUTED_VALUE"""),"eb959020764th")</f>
        <v>eb959020764th</v>
      </c>
      <c r="D509" s="1" t="str">
        <f ca="1">IFERROR(__xludf.DUMMYFUNCTION("""COMPUTED_VALUE"""),"มนัสนันท์")</f>
        <v>มนัสนันท์</v>
      </c>
      <c r="E509" s="1" t="str">
        <f ca="1">IFERROR(__xludf.DUMMYFUNCTION("""COMPUTED_VALUE"""),"065-9916879")</f>
        <v>065-9916879</v>
      </c>
      <c r="F509" s="1" t="str">
        <f ca="1">IFERROR(__xludf.DUMMYFUNCTION("""COMPUTED_VALUE"""),"539 โครงการดาดฟ้าลาซาน คอมมูนิตี้มอลล์ สนง.ชั้น2")</f>
        <v>539 โครงการดาดฟ้าลาซาน คอมมูนิตี้มอลล์ สนง.ชั้น2</v>
      </c>
      <c r="G509" s="1" t="str">
        <f ca="1">IFERROR(__xludf.DUMMYFUNCTION("""COMPUTED_VALUE"""),"นำจ่ายใหม่")</f>
        <v>นำจ่ายใหม่</v>
      </c>
      <c r="H509" s="1" t="str">
        <f ca="1">IFERROR(__xludf.DUMMYFUNCTION("""COMPUTED_VALUE"""),"-")</f>
        <v>-</v>
      </c>
      <c r="I509" s="1" t="str">
        <f ca="1">IFERROR(__xludf.DUMMYFUNCTION("""COMPUTED_VALUE"""),"-")</f>
        <v>-</v>
      </c>
      <c r="J509" s="1" t="str">
        <f ca="1">IFERROR(__xludf.DUMMYFUNCTION("""COMPUTED_VALUE"""),"DB1")</f>
        <v>DB1</v>
      </c>
      <c r="K509" s="1" t="str">
        <f ca="1">IFERROR(__xludf.DUMMYFUNCTION("""COMPUTED_VALUE"""),"ems10260evd1004")</f>
        <v>ems10260evd1004</v>
      </c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 ht="15.75" customHeight="1" x14ac:dyDescent="0.2">
      <c r="A510" s="8">
        <f ca="1">IFERROR(__xludf.DUMMYFUNCTION("""COMPUTED_VALUE"""),45292.6482433333)</f>
        <v>45292.6482433333</v>
      </c>
      <c r="B510" s="1" t="str">
        <f ca="1">IFERROR(__xludf.DUMMYFUNCTION("""COMPUTED_VALUE"""),"CEC")</f>
        <v>CEC</v>
      </c>
      <c r="C510" s="1" t="str">
        <f ca="1">IFERROR(__xludf.DUMMYFUNCTION("""COMPUTED_VALUE"""),"eb234372681th")</f>
        <v>eb234372681th</v>
      </c>
      <c r="D510" s="1" t="str">
        <f ca="1">IFERROR(__xludf.DUMMYFUNCTION("""COMPUTED_VALUE"""),"ปฐวีย์")</f>
        <v>ปฐวีย์</v>
      </c>
      <c r="E510" s="1" t="str">
        <f ca="1">IFERROR(__xludf.DUMMYFUNCTION("""COMPUTED_VALUE"""),"090-3324429")</f>
        <v>090-3324429</v>
      </c>
      <c r="F510" s="1" t="str">
        <f ca="1">IFERROR(__xludf.DUMMYFUNCTION("""COMPUTED_VALUE"""),"829/4 ไอคอนโดลาซาน ซ.105")</f>
        <v>829/4 ไอคอนโดลาซาน ซ.105</v>
      </c>
      <c r="G510" s="1" t="str">
        <f ca="1">IFERROR(__xludf.DUMMYFUNCTION("""COMPUTED_VALUE"""),"ตรวจสอบการนำจ่าย")</f>
        <v>ตรวจสอบการนำจ่าย</v>
      </c>
      <c r="H510" s="1" t="str">
        <f ca="1">IFERROR(__xludf.DUMMYFUNCTION("""COMPUTED_VALUE"""),"จะขอไปรับเอง")</f>
        <v>จะขอไปรับเอง</v>
      </c>
      <c r="I510" s="1" t="str">
        <f ca="1">IFERROR(__xludf.DUMMYFUNCTION("""COMPUTED_VALUE"""),"-")</f>
        <v>-</v>
      </c>
      <c r="J510" s="1" t="str">
        <f ca="1">IFERROR(__xludf.DUMMYFUNCTION("""COMPUTED_VALUE"""),"นำจ่ายรถยนต์")</f>
        <v>นำจ่ายรถยนต์</v>
      </c>
      <c r="K510" s="1" t="str">
        <f ca="1">IFERROR(__xludf.DUMMYFUNCTION("""COMPUTED_VALUE"""),"car10260evd5005")</f>
        <v>car10260evd5005</v>
      </c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 ht="15.75" customHeight="1" x14ac:dyDescent="0.2">
      <c r="A511" s="8">
        <f ca="1">IFERROR(__xludf.DUMMYFUNCTION("""COMPUTED_VALUE"""),45292.7033723495)</f>
        <v>45292.703372349497</v>
      </c>
      <c r="B511" s="1" t="str">
        <f ca="1">IFERROR(__xludf.DUMMYFUNCTION("""COMPUTED_VALUE"""),"CEC")</f>
        <v>CEC</v>
      </c>
      <c r="C511" s="1" t="str">
        <f ca="1">IFERROR(__xludf.DUMMYFUNCTION("""COMPUTED_VALUE"""),"jf160917676th")</f>
        <v>jf160917676th</v>
      </c>
      <c r="D511" s="1" t="str">
        <f ca="1">IFERROR(__xludf.DUMMYFUNCTION("""COMPUTED_VALUE"""),"พรนภา")</f>
        <v>พรนภา</v>
      </c>
      <c r="E511" s="1" t="str">
        <f ca="1">IFERROR(__xludf.DUMMYFUNCTION("""COMPUTED_VALUE"""),"061-7755280")</f>
        <v>061-7755280</v>
      </c>
      <c r="F511" s="1" t="str">
        <f ca="1">IFERROR(__xludf.DUMMYFUNCTION("""COMPUTED_VALUE"""),"55 ซ.พึ่งมี 34 สุขุมวิม93")</f>
        <v>55 ซ.พึ่งมี 34 สุขุมวิม93</v>
      </c>
      <c r="G511" s="1" t="str">
        <f ca="1">IFERROR(__xludf.DUMMYFUNCTION("""COMPUTED_VALUE"""),"นำจ่ายใหม่")</f>
        <v>นำจ่ายใหม่</v>
      </c>
      <c r="H511" s="1" t="str">
        <f ca="1">IFERROR(__xludf.DUMMYFUNCTION("""COMPUTED_VALUE"""),"-")</f>
        <v>-</v>
      </c>
      <c r="I511" s="1" t="str">
        <f ca="1">IFERROR(__xludf.DUMMYFUNCTION("""COMPUTED_VALUE"""),"-")</f>
        <v>-</v>
      </c>
      <c r="J511" s="1" t="str">
        <f ca="1">IFERROR(__xludf.DUMMYFUNCTION("""COMPUTED_VALUE"""),"DB3")</f>
        <v>DB3</v>
      </c>
      <c r="K511" s="1" t="str">
        <f ca="1">IFERROR(__xludf.DUMMYFUNCTION("""COMPUTED_VALUE"""),"zne10260evd3002")</f>
        <v>zne10260evd3002</v>
      </c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 ht="15.75" customHeight="1" x14ac:dyDescent="0.2">
      <c r="A512" s="8">
        <f ca="1">IFERROR(__xludf.DUMMYFUNCTION("""COMPUTED_VALUE"""),45292.7044962152)</f>
        <v>45292.704496215199</v>
      </c>
      <c r="B512" s="1" t="str">
        <f ca="1">IFERROR(__xludf.DUMMYFUNCTION("""COMPUTED_VALUE"""),"CEC")</f>
        <v>CEC</v>
      </c>
      <c r="C512" s="1" t="str">
        <f ca="1">IFERROR(__xludf.DUMMYFUNCTION("""COMPUTED_VALUE"""),"ed146735981th")</f>
        <v>ed146735981th</v>
      </c>
      <c r="D512" s="1" t="str">
        <f ca="1">IFERROR(__xludf.DUMMYFUNCTION("""COMPUTED_VALUE"""),"ฤดีรัตน์")</f>
        <v>ฤดีรัตน์</v>
      </c>
      <c r="E512" s="1" t="str">
        <f ca="1">IFERROR(__xludf.DUMMYFUNCTION("""COMPUTED_VALUE"""),"090-0014020")</f>
        <v>090-0014020</v>
      </c>
      <c r="F512" s="1" t="str">
        <f ca="1">IFERROR(__xludf.DUMMYFUNCTION("""COMPUTED_VALUE"""),"1863 ร้านน้อบซุปเปอร์มาร์ด สุขุม66/1 แยก23")</f>
        <v>1863 ร้านน้อบซุปเปอร์มาร์ด สุขุม66/1 แยก23</v>
      </c>
      <c r="G512" s="1" t="str">
        <f ca="1">IFERROR(__xludf.DUMMYFUNCTION("""COMPUTED_VALUE"""),"นำจ่ายใหม่")</f>
        <v>นำจ่ายใหม่</v>
      </c>
      <c r="H512" s="1" t="str">
        <f ca="1">IFERROR(__xludf.DUMMYFUNCTION("""COMPUTED_VALUE"""),"-")</f>
        <v>-</v>
      </c>
      <c r="I512" s="1" t="str">
        <f ca="1">IFERROR(__xludf.DUMMYFUNCTION("""COMPUTED_VALUE"""),"-")</f>
        <v>-</v>
      </c>
      <c r="J512" s="1" t="str">
        <f ca="1">IFERROR(__xludf.DUMMYFUNCTION("""COMPUTED_VALUE"""),"นำจ่ายรถยนต์")</f>
        <v>นำจ่ายรถยนต์</v>
      </c>
      <c r="K512" s="1" t="str">
        <f ca="1">IFERROR(__xludf.DUMMYFUNCTION("""COMPUTED_VALUE"""),"car10260evd5004")</f>
        <v>car10260evd5004</v>
      </c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 ht="15.75" customHeight="1" x14ac:dyDescent="0.2">
      <c r="A513" s="8">
        <f ca="1">IFERROR(__xludf.DUMMYFUNCTION("""COMPUTED_VALUE"""),45294.4302990509)</f>
        <v>45294.430299050902</v>
      </c>
      <c r="B513" s="1" t="str">
        <f ca="1">IFERROR(__xludf.DUMMYFUNCTION("""COMPUTED_VALUE"""),"CEC")</f>
        <v>CEC</v>
      </c>
      <c r="C513" s="1" t="str">
        <f ca="1">IFERROR(__xludf.DUMMYFUNCTION("""COMPUTED_VALUE"""),"jf160334905th")</f>
        <v>jf160334905th</v>
      </c>
      <c r="D513" s="1" t="str">
        <f ca="1">IFERROR(__xludf.DUMMYFUNCTION("""COMPUTED_VALUE"""),"ลัคษิกา")</f>
        <v>ลัคษิกา</v>
      </c>
      <c r="E513" s="1" t="str">
        <f ca="1">IFERROR(__xludf.DUMMYFUNCTION("""COMPUTED_VALUE"""),"064-5164662")</f>
        <v>064-5164662</v>
      </c>
      <c r="F513" s="1" t="str">
        <f ca="1">IFERROR(__xludf.DUMMYFUNCTION("""COMPUTED_VALUE"""),"266/2อพาร์ทเมนท์เพชรบางน สรรพาวุธ")</f>
        <v>266/2อพาร์ทเมนท์เพชรบางน สรรพาวุธ</v>
      </c>
      <c r="G513" s="1" t="str">
        <f ca="1">IFERROR(__xludf.DUMMYFUNCTION("""COMPUTED_VALUE"""),"ตรวจสอบการนำจ่าย")</f>
        <v>ตรวจสอบการนำจ่าย</v>
      </c>
      <c r="H513" s="1" t="str">
        <f ca="1">IFERROR(__xludf.DUMMYFUNCTION("""COMPUTED_VALUE"""),"-")</f>
        <v>-</v>
      </c>
      <c r="I513" s="1" t="str">
        <f ca="1">IFERROR(__xludf.DUMMYFUNCTION("""COMPUTED_VALUE"""),"-")</f>
        <v>-</v>
      </c>
      <c r="J513" s="1" t="str">
        <f ca="1">IFERROR(__xludf.DUMMYFUNCTION("""COMPUTED_VALUE"""),"นำจ่ายรถยนต์")</f>
        <v>นำจ่ายรถยนต์</v>
      </c>
      <c r="K513" s="1" t="str">
        <f ca="1">IFERROR(__xludf.DUMMYFUNCTION("""COMPUTED_VALUE"""),"car10260ems5004")</f>
        <v>car10260ems5004</v>
      </c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 ht="15.75" customHeight="1" x14ac:dyDescent="0.2">
      <c r="A514" s="8">
        <f ca="1">IFERROR(__xludf.DUMMYFUNCTION("""COMPUTED_VALUE"""),45294.4311628125)</f>
        <v>45294.4311628125</v>
      </c>
      <c r="B514" s="1" t="str">
        <f ca="1">IFERROR(__xludf.DUMMYFUNCTION("""COMPUTED_VALUE"""),"CEC")</f>
        <v>CEC</v>
      </c>
      <c r="C514" s="1" t="str">
        <f ca="1">IFERROR(__xludf.DUMMYFUNCTION("""COMPUTED_VALUE"""),"ea727624661th")</f>
        <v>ea727624661th</v>
      </c>
      <c r="D514" s="1" t="str">
        <f ca="1">IFERROR(__xludf.DUMMYFUNCTION("""COMPUTED_VALUE"""),"สุภาพร")</f>
        <v>สุภาพร</v>
      </c>
      <c r="E514" s="1" t="str">
        <f ca="1">IFERROR(__xludf.DUMMYFUNCTION("""COMPUTED_VALUE"""),"064-7625978")</f>
        <v>064-7625978</v>
      </c>
      <c r="F514" s="1" t="str">
        <f ca="1">IFERROR(__xludf.DUMMYFUNCTION("""COMPUTED_VALUE"""),"388/3-5 บ.วุฒิชัยโฮลดิ้ง สรรพาวุธ")</f>
        <v>388/3-5 บ.วุฒิชัยโฮลดิ้ง สรรพาวุธ</v>
      </c>
      <c r="G514" s="1" t="str">
        <f ca="1">IFERROR(__xludf.DUMMYFUNCTION("""COMPUTED_VALUE"""),"นำจ่ายใหม่")</f>
        <v>นำจ่ายใหม่</v>
      </c>
      <c r="H514" s="1" t="str">
        <f ca="1">IFERROR(__xludf.DUMMYFUNCTION("""COMPUTED_VALUE"""),"-")</f>
        <v>-</v>
      </c>
      <c r="I514" s="1" t="str">
        <f ca="1">IFERROR(__xludf.DUMMYFUNCTION("""COMPUTED_VALUE"""),"-")</f>
        <v>-</v>
      </c>
      <c r="J514" s="1" t="str">
        <f ca="1">IFERROR(__xludf.DUMMYFUNCTION("""COMPUTED_VALUE"""),"DB2")</f>
        <v>DB2</v>
      </c>
      <c r="K514" s="1" t="str">
        <f ca="1">IFERROR(__xludf.DUMMYFUNCTION("""COMPUTED_VALUE"""),"ems10260evs2001")</f>
        <v>ems10260evs2001</v>
      </c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 ht="15.75" customHeight="1" x14ac:dyDescent="0.2">
      <c r="A515" s="8">
        <f ca="1">IFERROR(__xludf.DUMMYFUNCTION("""COMPUTED_VALUE"""),45294.4330100463)</f>
        <v>45294.433010046298</v>
      </c>
      <c r="B515" s="1" t="str">
        <f ca="1">IFERROR(__xludf.DUMMYFUNCTION("""COMPUTED_VALUE"""),"CEC")</f>
        <v>CEC</v>
      </c>
      <c r="C515" s="1" t="str">
        <f ca="1">IFERROR(__xludf.DUMMYFUNCTION("""COMPUTED_VALUE"""),"ej259420428th")</f>
        <v>ej259420428th</v>
      </c>
      <c r="D515" s="1" t="str">
        <f ca="1">IFERROR(__xludf.DUMMYFUNCTION("""COMPUTED_VALUE"""),"พร้อมพงษ์")</f>
        <v>พร้อมพงษ์</v>
      </c>
      <c r="E515" s="1" t="str">
        <f ca="1">IFERROR(__xludf.DUMMYFUNCTION("""COMPUTED_VALUE"""),"096-8793860")</f>
        <v>096-8793860</v>
      </c>
      <c r="F515" s="1" t="str">
        <f ca="1">IFERROR(__xludf.DUMMYFUNCTION("""COMPUTED_VALUE"""),"210 โรงกลั่นบางจาก สุขุมวิท 64")</f>
        <v>210 โรงกลั่นบางจาก สุขุมวิท 64</v>
      </c>
      <c r="G515" s="1" t="str">
        <f ca="1">IFERROR(__xludf.DUMMYFUNCTION("""COMPUTED_VALUE"""),"นำจ่ายใหม่")</f>
        <v>นำจ่ายใหม่</v>
      </c>
      <c r="H515" s="1" t="str">
        <f ca="1">IFERROR(__xludf.DUMMYFUNCTION("""COMPUTED_VALUE"""),"-")</f>
        <v>-</v>
      </c>
      <c r="I515" s="1" t="str">
        <f ca="1">IFERROR(__xludf.DUMMYFUNCTION("""COMPUTED_VALUE"""),"-")</f>
        <v>-</v>
      </c>
      <c r="J515" s="1" t="str">
        <f ca="1">IFERROR(__xludf.DUMMYFUNCTION("""COMPUTED_VALUE"""),"DB4")</f>
        <v>DB4</v>
      </c>
      <c r="K515" s="1" t="str">
        <f ca="1">IFERROR(__xludf.DUMMYFUNCTION("""COMPUTED_VALUE"""),"ems10260evd4002")</f>
        <v>ems10260evd4002</v>
      </c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 ht="15.75" customHeight="1" x14ac:dyDescent="0.2">
      <c r="A516" s="8">
        <f ca="1">IFERROR(__xludf.DUMMYFUNCTION("""COMPUTED_VALUE"""),45294.5224836458)</f>
        <v>45294.5224836458</v>
      </c>
      <c r="B516" s="1" t="str">
        <f ca="1">IFERROR(__xludf.DUMMYFUNCTION("""COMPUTED_VALUE"""),"CEC")</f>
        <v>CEC</v>
      </c>
      <c r="C516" s="1" t="str">
        <f ca="1">IFERROR(__xludf.DUMMYFUNCTION("""COMPUTED_VALUE"""),"eb959112151th")</f>
        <v>eb959112151th</v>
      </c>
      <c r="D516" s="1" t="str">
        <f ca="1">IFERROR(__xludf.DUMMYFUNCTION("""COMPUTED_VALUE"""),"
เอื่อมดาว")</f>
        <v xml:space="preserve">
เอื่อมดาว</v>
      </c>
      <c r="E516" s="1" t="str">
        <f ca="1">IFERROR(__xludf.DUMMYFUNCTION("""COMPUTED_VALUE"""),"087-1066564")</f>
        <v>087-1066564</v>
      </c>
      <c r="F516" s="1" t="str">
        <f ca="1">IFERROR(__xludf.DUMMYFUNCTION("""COMPUTED_VALUE"""),"51/95 คอนโดนิรันดร์ 2 ซ.พึ่งมี 52 ซ.93")</f>
        <v>51/95 คอนโดนิรันดร์ 2 ซ.พึ่งมี 52 ซ.93</v>
      </c>
      <c r="G516" s="1" t="str">
        <f ca="1">IFERROR(__xludf.DUMMYFUNCTION("""COMPUTED_VALUE"""),"นำจ่ายใหม่")</f>
        <v>นำจ่ายใหม่</v>
      </c>
      <c r="H516" s="1" t="str">
        <f ca="1">IFERROR(__xludf.DUMMYFUNCTION("""COMPUTED_VALUE"""),"-")</f>
        <v>-</v>
      </c>
      <c r="I516" s="1" t="str">
        <f ca="1">IFERROR(__xludf.DUMMYFUNCTION("""COMPUTED_VALUE"""),"-")</f>
        <v>-</v>
      </c>
      <c r="J516" s="1" t="str">
        <f ca="1">IFERROR(__xludf.DUMMYFUNCTION("""COMPUTED_VALUE"""),"DB3")</f>
        <v>DB3</v>
      </c>
      <c r="K516" s="1" t="str">
        <f ca="1">IFERROR(__xludf.DUMMYFUNCTION("""COMPUTED_VALUE"""),"ems10260evd3003")</f>
        <v>ems10260evd3003</v>
      </c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 ht="15.75" customHeight="1" x14ac:dyDescent="0.2">
      <c r="A517" s="8">
        <f ca="1">IFERROR(__xludf.DUMMYFUNCTION("""COMPUTED_VALUE"""),45294.5239085185)</f>
        <v>45294.523908518502</v>
      </c>
      <c r="B517" s="1" t="str">
        <f ca="1">IFERROR(__xludf.DUMMYFUNCTION("""COMPUTED_VALUE"""),"CEC")</f>
        <v>CEC</v>
      </c>
      <c r="C517" s="1" t="str">
        <f ca="1">IFERROR(__xludf.DUMMYFUNCTION("""COMPUTED_VALUE"""),"eb959003205th")</f>
        <v>eb959003205th</v>
      </c>
      <c r="D517" s="1" t="str">
        <f ca="1">IFERROR(__xludf.DUMMYFUNCTION("""COMPUTED_VALUE"""),"เอื่อมดาว")</f>
        <v>เอื่อมดาว</v>
      </c>
      <c r="E517" s="1" t="str">
        <f ca="1">IFERROR(__xludf.DUMMYFUNCTION("""COMPUTED_VALUE"""),"087-1066564")</f>
        <v>087-1066564</v>
      </c>
      <c r="F517" s="1" t="str">
        <f ca="1">IFERROR(__xludf.DUMMYFUNCTION("""COMPUTED_VALUE"""),"51/95 คอนโดนิรันดร์ 2 ซ.พึ่งมี 52 ซ.93")</f>
        <v>51/95 คอนโดนิรันดร์ 2 ซ.พึ่งมี 52 ซ.93</v>
      </c>
      <c r="G517" s="1" t="str">
        <f ca="1">IFERROR(__xludf.DUMMYFUNCTION("""COMPUTED_VALUE"""),"นำจ่ายใหม่")</f>
        <v>นำจ่ายใหม่</v>
      </c>
      <c r="H517" s="1" t="str">
        <f ca="1">IFERROR(__xludf.DUMMYFUNCTION("""COMPUTED_VALUE"""),"-")</f>
        <v>-</v>
      </c>
      <c r="I517" s="1" t="str">
        <f ca="1">IFERROR(__xludf.DUMMYFUNCTION("""COMPUTED_VALUE"""),"-")</f>
        <v>-</v>
      </c>
      <c r="J517" s="1" t="str">
        <f ca="1">IFERROR(__xludf.DUMMYFUNCTION("""COMPUTED_VALUE"""),"DB3")</f>
        <v>DB3</v>
      </c>
      <c r="K517" s="1" t="str">
        <f ca="1">IFERROR(__xludf.DUMMYFUNCTION("""COMPUTED_VALUE"""),"ems10260evd3003")</f>
        <v>ems10260evd3003</v>
      </c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 ht="15.75" customHeight="1" x14ac:dyDescent="0.2">
      <c r="A518" s="8">
        <f ca="1">IFERROR(__xludf.DUMMYFUNCTION("""COMPUTED_VALUE"""),45294.5735950347)</f>
        <v>45294.573595034701</v>
      </c>
      <c r="B518" s="1" t="str">
        <f ca="1">IFERROR(__xludf.DUMMYFUNCTION("""COMPUTED_VALUE"""),"CEC")</f>
        <v>CEC</v>
      </c>
      <c r="C518" s="1" t="str">
        <f ca="1">IFERROR(__xludf.DUMMYFUNCTION("""COMPUTED_VALUE"""),"ed122947213th")</f>
        <v>ed122947213th</v>
      </c>
      <c r="D518" s="1" t="str">
        <f ca="1">IFERROR(__xludf.DUMMYFUNCTION("""COMPUTED_VALUE"""),"ศรัณรัตน์")</f>
        <v>ศรัณรัตน์</v>
      </c>
      <c r="E518" s="1" t="str">
        <f ca="1">IFERROR(__xludf.DUMMYFUNCTION("""COMPUTED_VALUE"""),"097-2628143")</f>
        <v>097-2628143</v>
      </c>
      <c r="F518" s="1" t="str">
        <f ca="1">IFERROR(__xludf.DUMMYFUNCTION("""COMPUTED_VALUE"""),"867/94 บ้านพรทวี ปุณณวิถี 49")</f>
        <v>867/94 บ้านพรทวี ปุณณวิถี 49</v>
      </c>
      <c r="G518" s="1" t="str">
        <f ca="1">IFERROR(__xludf.DUMMYFUNCTION("""COMPUTED_VALUE"""),"นำจ่ายใหม่")</f>
        <v>นำจ่ายใหม่</v>
      </c>
      <c r="H518" s="1" t="str">
        <f ca="1">IFERROR(__xludf.DUMMYFUNCTION("""COMPUTED_VALUE"""),"-")</f>
        <v>-</v>
      </c>
      <c r="I518" s="1" t="str">
        <f ca="1">IFERROR(__xludf.DUMMYFUNCTION("""COMPUTED_VALUE"""),"-")</f>
        <v>-</v>
      </c>
      <c r="J518" s="1" t="str">
        <f ca="1">IFERROR(__xludf.DUMMYFUNCTION("""COMPUTED_VALUE"""),"DB3")</f>
        <v>DB3</v>
      </c>
      <c r="K518" s="1" t="str">
        <f ca="1">IFERROR(__xludf.DUMMYFUNCTION("""COMPUTED_VALUE"""),"ems10260evd3017")</f>
        <v>ems10260evd3017</v>
      </c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 ht="15.75" customHeight="1" x14ac:dyDescent="0.2">
      <c r="A519" s="8">
        <f ca="1">IFERROR(__xludf.DUMMYFUNCTION("""COMPUTED_VALUE"""),45294.5743108912)</f>
        <v>45294.574310891199</v>
      </c>
      <c r="B519" s="1" t="str">
        <f ca="1">IFERROR(__xludf.DUMMYFUNCTION("""COMPUTED_VALUE"""),"CEC")</f>
        <v>CEC</v>
      </c>
      <c r="C519" s="1" t="str">
        <f ca="1">IFERROR(__xludf.DUMMYFUNCTION("""COMPUTED_VALUE"""),"ed162401125th")</f>
        <v>ed162401125th</v>
      </c>
      <c r="D519" s="1" t="str">
        <f ca="1">IFERROR(__xludf.DUMMYFUNCTION("""COMPUTED_VALUE"""),"ศรัณรัตน์")</f>
        <v>ศรัณรัตน์</v>
      </c>
      <c r="E519" s="1" t="str">
        <f ca="1">IFERROR(__xludf.DUMMYFUNCTION("""COMPUTED_VALUE"""),"097-2628143")</f>
        <v>097-2628143</v>
      </c>
      <c r="F519" s="1" t="str">
        <f ca="1">IFERROR(__xludf.DUMMYFUNCTION("""COMPUTED_VALUE"""),"867/94 บ้านพรทวี ปุณณวิถี 49")</f>
        <v>867/94 บ้านพรทวี ปุณณวิถี 49</v>
      </c>
      <c r="G519" s="1" t="str">
        <f ca="1">IFERROR(__xludf.DUMMYFUNCTION("""COMPUTED_VALUE"""),"นำจ่ายใหม่")</f>
        <v>นำจ่ายใหม่</v>
      </c>
      <c r="H519" s="1" t="str">
        <f ca="1">IFERROR(__xludf.DUMMYFUNCTION("""COMPUTED_VALUE"""),"-")</f>
        <v>-</v>
      </c>
      <c r="I519" s="1" t="str">
        <f ca="1">IFERROR(__xludf.DUMMYFUNCTION("""COMPUTED_VALUE"""),"-")</f>
        <v>-</v>
      </c>
      <c r="J519" s="1" t="str">
        <f ca="1">IFERROR(__xludf.DUMMYFUNCTION("""COMPUTED_VALUE"""),"DB3")</f>
        <v>DB3</v>
      </c>
      <c r="K519" s="1" t="str">
        <f ca="1">IFERROR(__xludf.DUMMYFUNCTION("""COMPUTED_VALUE"""),"ems10260evd3017")</f>
        <v>ems10260evd3017</v>
      </c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 ht="15.75" customHeight="1" x14ac:dyDescent="0.2">
      <c r="A520" s="8">
        <f ca="1">IFERROR(__xludf.DUMMYFUNCTION("""COMPUTED_VALUE"""),45294.5750060069)</f>
        <v>45294.575006006897</v>
      </c>
      <c r="B520" s="1" t="str">
        <f ca="1">IFERROR(__xludf.DUMMYFUNCTION("""COMPUTED_VALUE"""),"CEC")</f>
        <v>CEC</v>
      </c>
      <c r="C520" s="1" t="str">
        <f ca="1">IFERROR(__xludf.DUMMYFUNCTION("""COMPUTED_VALUE"""),"el636482354th")</f>
        <v>el636482354th</v>
      </c>
      <c r="D520" s="1" t="str">
        <f ca="1">IFERROR(__xludf.DUMMYFUNCTION("""COMPUTED_VALUE"""),"ศรัณรัตน์")</f>
        <v>ศรัณรัตน์</v>
      </c>
      <c r="E520" s="1" t="str">
        <f ca="1">IFERROR(__xludf.DUMMYFUNCTION("""COMPUTED_VALUE"""),"097-2628143")</f>
        <v>097-2628143</v>
      </c>
      <c r="F520" s="1" t="str">
        <f ca="1">IFERROR(__xludf.DUMMYFUNCTION("""COMPUTED_VALUE"""),"867/94 บ้านพรทวี ปุณรวิถี 49")</f>
        <v>867/94 บ้านพรทวี ปุณรวิถี 49</v>
      </c>
      <c r="G520" s="1" t="str">
        <f ca="1">IFERROR(__xludf.DUMMYFUNCTION("""COMPUTED_VALUE"""),"นำจ่ายใหม่")</f>
        <v>นำจ่ายใหม่</v>
      </c>
      <c r="H520" s="1" t="str">
        <f ca="1">IFERROR(__xludf.DUMMYFUNCTION("""COMPUTED_VALUE"""),"-")</f>
        <v>-</v>
      </c>
      <c r="I520" s="1" t="str">
        <f ca="1">IFERROR(__xludf.DUMMYFUNCTION("""COMPUTED_VALUE"""),"-")</f>
        <v>-</v>
      </c>
      <c r="J520" s="1" t="str">
        <f ca="1">IFERROR(__xludf.DUMMYFUNCTION("""COMPUTED_VALUE"""),"DB3")</f>
        <v>DB3</v>
      </c>
      <c r="K520" s="1" t="str">
        <f ca="1">IFERROR(__xludf.DUMMYFUNCTION("""COMPUTED_VALUE"""),"ems10260evd3017")</f>
        <v>ems10260evd3017</v>
      </c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 ht="15.75" customHeight="1" x14ac:dyDescent="0.2">
      <c r="A521" s="8">
        <f ca="1">IFERROR(__xludf.DUMMYFUNCTION("""COMPUTED_VALUE"""),45294.5758558796)</f>
        <v>45294.575855879601</v>
      </c>
      <c r="B521" s="1" t="str">
        <f ca="1">IFERROR(__xludf.DUMMYFUNCTION("""COMPUTED_VALUE"""),"CEC")</f>
        <v>CEC</v>
      </c>
      <c r="C521" s="1" t="str">
        <f ca="1">IFERROR(__xludf.DUMMYFUNCTION("""COMPUTED_VALUE"""),"ed119984746th")</f>
        <v>ed119984746th</v>
      </c>
      <c r="D521" s="1" t="str">
        <f ca="1">IFERROR(__xludf.DUMMYFUNCTION("""COMPUTED_VALUE"""),"อทิตา")</f>
        <v>อทิตา</v>
      </c>
      <c r="E521" s="1" t="str">
        <f ca="1">IFERROR(__xludf.DUMMYFUNCTION("""COMPUTED_VALUE"""),"083-1888858")</f>
        <v>083-1888858</v>
      </c>
      <c r="F521" s="1" t="str">
        <f ca="1">IFERROR(__xludf.DUMMYFUNCTION("""COMPUTED_VALUE"""),"970/1 บ้านลานนาไทย ปุณณ 32 แยก 5")</f>
        <v>970/1 บ้านลานนาไทย ปุณณ 32 แยก 5</v>
      </c>
      <c r="G521" s="1" t="str">
        <f ca="1">IFERROR(__xludf.DUMMYFUNCTION("""COMPUTED_VALUE"""),"นำจ่ายใหม่")</f>
        <v>นำจ่ายใหม่</v>
      </c>
      <c r="H521" s="1" t="str">
        <f ca="1">IFERROR(__xludf.DUMMYFUNCTION("""COMPUTED_VALUE"""),"-")</f>
        <v>-</v>
      </c>
      <c r="I521" s="1" t="str">
        <f ca="1">IFERROR(__xludf.DUMMYFUNCTION("""COMPUTED_VALUE"""),"-")</f>
        <v>-</v>
      </c>
      <c r="J521" s="1" t="str">
        <f ca="1">IFERROR(__xludf.DUMMYFUNCTION("""COMPUTED_VALUE"""),"DB3")</f>
        <v>DB3</v>
      </c>
      <c r="K521" s="1" t="str">
        <f ca="1">IFERROR(__xludf.DUMMYFUNCTION("""COMPUTED_VALUE"""),"ems10260evd3003")</f>
        <v>ems10260evd3003</v>
      </c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 ht="15.75" customHeight="1" x14ac:dyDescent="0.2">
      <c r="A522" s="8">
        <f ca="1">IFERROR(__xludf.DUMMYFUNCTION("""COMPUTED_VALUE"""),45294.5776466898)</f>
        <v>45294.577646689802</v>
      </c>
      <c r="B522" s="1" t="str">
        <f ca="1">IFERROR(__xludf.DUMMYFUNCTION("""COMPUTED_VALUE"""),"CEC")</f>
        <v>CEC</v>
      </c>
      <c r="C522" s="1" t="str">
        <f ca="1">IFERROR(__xludf.DUMMYFUNCTION("""COMPUTED_VALUE"""),"eb523283391th")</f>
        <v>eb523283391th</v>
      </c>
      <c r="D522" s="1" t="str">
        <f ca="1">IFERROR(__xludf.DUMMYFUNCTION("""COMPUTED_VALUE"""),"ธนิดา")</f>
        <v>ธนิดา</v>
      </c>
      <c r="E522" s="1" t="str">
        <f ca="1">IFERROR(__xludf.DUMMYFUNCTION("""COMPUTED_VALUE"""),"063-5963697")</f>
        <v>063-5963697</v>
      </c>
      <c r="F522" s="1" t="str">
        <f ca="1">IFERROR(__xludf.DUMMYFUNCTION("""COMPUTED_VALUE"""),"95/71 คอนโดเอลดิโอ สุขุมวิท64")</f>
        <v>95/71 คอนโดเอลดิโอ สุขุมวิท64</v>
      </c>
      <c r="G522" s="1" t="str">
        <f ca="1">IFERROR(__xludf.DUMMYFUNCTION("""COMPUTED_VALUE"""),"ตรวจสอบการนำจ่าย")</f>
        <v>ตรวจสอบการนำจ่าย</v>
      </c>
      <c r="H522" s="1" t="str">
        <f ca="1">IFERROR(__xludf.DUMMYFUNCTION("""COMPUTED_VALUE"""),"-")</f>
        <v>-</v>
      </c>
      <c r="I522" s="1" t="str">
        <f ca="1">IFERROR(__xludf.DUMMYFUNCTION("""COMPUTED_VALUE"""),"-")</f>
        <v>-</v>
      </c>
      <c r="J522" s="1" t="str">
        <f ca="1">IFERROR(__xludf.DUMMYFUNCTION("""COMPUTED_VALUE"""),"DB4")</f>
        <v>DB4</v>
      </c>
      <c r="K522" s="1" t="str">
        <f ca="1">IFERROR(__xludf.DUMMYFUNCTION("""COMPUTED_VALUE"""),"car10260evd5004")</f>
        <v>car10260evd5004</v>
      </c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 ht="15.75" customHeight="1" x14ac:dyDescent="0.2">
      <c r="A523" s="8">
        <f ca="1">IFERROR(__xludf.DUMMYFUNCTION("""COMPUTED_VALUE"""),45294.5792156597)</f>
        <v>45294.579215659702</v>
      </c>
      <c r="B523" s="1" t="str">
        <f ca="1">IFERROR(__xludf.DUMMYFUNCTION("""COMPUTED_VALUE"""),"CEC")</f>
        <v>CEC</v>
      </c>
      <c r="C523" s="1" t="str">
        <f ca="1">IFERROR(__xludf.DUMMYFUNCTION("""COMPUTED_VALUE"""),"ed041868538th")</f>
        <v>ed041868538th</v>
      </c>
      <c r="D523" s="1" t="str">
        <f ca="1">IFERROR(__xludf.DUMMYFUNCTION("""COMPUTED_VALUE"""),"ณัฏฐณิชา")</f>
        <v>ณัฏฐณิชา</v>
      </c>
      <c r="E523" s="1" t="str">
        <f ca="1">IFERROR(__xludf.DUMMYFUNCTION("""COMPUTED_VALUE"""),"085-6614335")</f>
        <v>085-6614335</v>
      </c>
      <c r="F523" s="1" t="str">
        <f ca="1">IFERROR(__xludf.DUMMYFUNCTION("""COMPUTED_VALUE"""),"26/2 บ.ไทคูณ ซ.ศิริวานิช ซ.64")</f>
        <v>26/2 บ.ไทคูณ ซ.ศิริวานิช ซ.64</v>
      </c>
      <c r="G523" s="1" t="str">
        <f ca="1">IFERROR(__xludf.DUMMYFUNCTION("""COMPUTED_VALUE"""),"นำจ่ายใหม่")</f>
        <v>นำจ่ายใหม่</v>
      </c>
      <c r="H523" s="1" t="str">
        <f ca="1">IFERROR(__xludf.DUMMYFUNCTION("""COMPUTED_VALUE"""),"-")</f>
        <v>-</v>
      </c>
      <c r="I523" s="1" t="str">
        <f ca="1">IFERROR(__xludf.DUMMYFUNCTION("""COMPUTED_VALUE"""),"-")</f>
        <v>-</v>
      </c>
      <c r="J523" s="1" t="str">
        <f ca="1">IFERROR(__xludf.DUMMYFUNCTION("""COMPUTED_VALUE"""),"DB4")</f>
        <v>DB4</v>
      </c>
      <c r="K523" s="1" t="str">
        <f ca="1">IFERROR(__xludf.DUMMYFUNCTION("""COMPUTED_VALUE"""),"ems10260evd4002")</f>
        <v>ems10260evd4002</v>
      </c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 ht="15.75" customHeight="1" x14ac:dyDescent="0.2">
      <c r="A524" s="8">
        <f ca="1">IFERROR(__xludf.DUMMYFUNCTION("""COMPUTED_VALUE"""),45294.5822992824)</f>
        <v>45294.582299282403</v>
      </c>
      <c r="B524" s="1" t="str">
        <f ca="1">IFERROR(__xludf.DUMMYFUNCTION("""COMPUTED_VALUE"""),"CEC")</f>
        <v>CEC</v>
      </c>
      <c r="C524" s="1" t="str">
        <f ca="1">IFERROR(__xludf.DUMMYFUNCTION("""COMPUTED_VALUE"""),"eg798732995th")</f>
        <v>eg798732995th</v>
      </c>
      <c r="D524" s="1" t="str">
        <f ca="1">IFERROR(__xludf.DUMMYFUNCTION("""COMPUTED_VALUE"""),"เสาวภา")</f>
        <v>เสาวภา</v>
      </c>
      <c r="E524" s="1" t="str">
        <f ca="1">IFERROR(__xludf.DUMMYFUNCTION("""COMPUTED_VALUE"""),"096-4535595")</f>
        <v>096-4535595</v>
      </c>
      <c r="F524" s="1" t="str">
        <f ca="1">IFERROR(__xludf.DUMMYFUNCTION("""COMPUTED_VALUE"""),"54 บ.เอ็น แอนด์ เอส มาร์เก็ตติ่ง ซ.ลาซาน 79")</f>
        <v>54 บ.เอ็น แอนด์ เอส มาร์เก็ตติ่ง ซ.ลาซาน 79</v>
      </c>
      <c r="G524" s="1" t="str">
        <f ca="1">IFERROR(__xludf.DUMMYFUNCTION("""COMPUTED_VALUE"""),"นำจ่ายใหม่")</f>
        <v>นำจ่ายใหม่</v>
      </c>
      <c r="H524" s="1" t="str">
        <f ca="1">IFERROR(__xludf.DUMMYFUNCTION("""COMPUTED_VALUE"""),"-")</f>
        <v>-</v>
      </c>
      <c r="I524" s="1" t="str">
        <f ca="1">IFERROR(__xludf.DUMMYFUNCTION("""COMPUTED_VALUE"""),"-")</f>
        <v>-</v>
      </c>
      <c r="J524" s="1" t="str">
        <f ca="1">IFERROR(__xludf.DUMMYFUNCTION("""COMPUTED_VALUE"""),"DB1")</f>
        <v>DB1</v>
      </c>
      <c r="K524" s="1" t="str">
        <f ca="1">IFERROR(__xludf.DUMMYFUNCTION("""COMPUTED_VALUE"""),"ems10260evd1025")</f>
        <v>ems10260evd1025</v>
      </c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 ht="15.75" customHeight="1" x14ac:dyDescent="0.2">
      <c r="A525" s="8">
        <f ca="1">IFERROR(__xludf.DUMMYFUNCTION("""COMPUTED_VALUE"""),45294.5851886805)</f>
        <v>45294.585188680503</v>
      </c>
      <c r="B525" s="1" t="str">
        <f ca="1">IFERROR(__xludf.DUMMYFUNCTION("""COMPUTED_VALUE"""),"CEC")</f>
        <v>CEC</v>
      </c>
      <c r="C525" s="1" t="str">
        <f ca="1">IFERROR(__xludf.DUMMYFUNCTION("""COMPUTED_VALUE"""),"eb959010585th")</f>
        <v>eb959010585th</v>
      </c>
      <c r="D525" s="1" t="str">
        <f ca="1">IFERROR(__xludf.DUMMYFUNCTION("""COMPUTED_VALUE"""),"พุทธิดา")</f>
        <v>พุทธิดา</v>
      </c>
      <c r="E525" s="1" t="str">
        <f ca="1">IFERROR(__xludf.DUMMYFUNCTION("""COMPUTED_VALUE"""),"092-9817477")</f>
        <v>092-9817477</v>
      </c>
      <c r="F525" s="1" t="str">
        <f ca="1">IFERROR(__xludf.DUMMYFUNCTION("""COMPUTED_VALUE"""),"1002/118 นิรันดร์คอนโด9 อุดมสุข56")</f>
        <v>1002/118 นิรันดร์คอนโด9 อุดมสุข56</v>
      </c>
      <c r="G525" s="1" t="str">
        <f ca="1">IFERROR(__xludf.DUMMYFUNCTION("""COMPUTED_VALUE"""),"ตรวจสอบการนำจ่าย")</f>
        <v>ตรวจสอบการนำจ่าย</v>
      </c>
      <c r="H525" s="1" t="str">
        <f ca="1">IFERROR(__xludf.DUMMYFUNCTION("""COMPUTED_VALUE"""),"-")</f>
        <v>-</v>
      </c>
      <c r="I525" s="1" t="str">
        <f ca="1">IFERROR(__xludf.DUMMYFUNCTION("""COMPUTED_VALUE"""),"-")</f>
        <v>-</v>
      </c>
      <c r="J525" s="1" t="str">
        <f ca="1">IFERROR(__xludf.DUMMYFUNCTION("""COMPUTED_VALUE"""),"DB2")</f>
        <v>DB2</v>
      </c>
      <c r="K525" s="1" t="str">
        <f ca="1">IFERROR(__xludf.DUMMYFUNCTION("""COMPUTED_VALUE"""),"ems10260evd2014")</f>
        <v>ems10260evd2014</v>
      </c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 ht="15.75" customHeight="1" x14ac:dyDescent="0.2">
      <c r="A526" s="8">
        <f ca="1">IFERROR(__xludf.DUMMYFUNCTION("""COMPUTED_VALUE"""),45294.6462001273)</f>
        <v>45294.646200127303</v>
      </c>
      <c r="B526" s="1" t="str">
        <f ca="1">IFERROR(__xludf.DUMMYFUNCTION("""COMPUTED_VALUE"""),"CEC")</f>
        <v>CEC</v>
      </c>
      <c r="C526" s="1" t="str">
        <f ca="1">IFERROR(__xludf.DUMMYFUNCTION("""COMPUTED_VALUE"""),"ed090871913th")</f>
        <v>ed090871913th</v>
      </c>
      <c r="D526" s="1" t="str">
        <f ca="1">IFERROR(__xludf.DUMMYFUNCTION("""COMPUTED_VALUE"""),"ปิยะวัฒน์")</f>
        <v>ปิยะวัฒน์</v>
      </c>
      <c r="E526" s="1" t="str">
        <f ca="1">IFERROR(__xludf.DUMMYFUNCTION("""COMPUTED_VALUE"""),"086-5919603")</f>
        <v>086-5919603</v>
      </c>
      <c r="F526" s="1" t="str">
        <f ca="1">IFERROR(__xludf.DUMMYFUNCTION("""COMPUTED_VALUE"""),"835/29  อาคารไอคอนโด ซ.ลาซาน")</f>
        <v>835/29  อาคารไอคอนโด ซ.ลาซาน</v>
      </c>
      <c r="G526" s="1" t="str">
        <f ca="1">IFERROR(__xludf.DUMMYFUNCTION("""COMPUTED_VALUE"""),"ตรวจสอบการนำจ่าย")</f>
        <v>ตรวจสอบการนำจ่าย</v>
      </c>
      <c r="H526" s="1" t="str">
        <f ca="1">IFERROR(__xludf.DUMMYFUNCTION("""COMPUTED_VALUE"""),"-")</f>
        <v>-</v>
      </c>
      <c r="I526" s="1" t="str">
        <f ca="1">IFERROR(__xludf.DUMMYFUNCTION("""COMPUTED_VALUE"""),"-")</f>
        <v>-</v>
      </c>
      <c r="J526" s="1" t="str">
        <f ca="1">IFERROR(__xludf.DUMMYFUNCTION("""COMPUTED_VALUE"""),"นำจ่ายรถยนต์")</f>
        <v>นำจ่ายรถยนต์</v>
      </c>
      <c r="K526" s="1" t="str">
        <f ca="1">IFERROR(__xludf.DUMMYFUNCTION("""COMPUTED_VALUE"""),"car10260evd5005")</f>
        <v>car10260evd5005</v>
      </c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 ht="15.75" customHeight="1" x14ac:dyDescent="0.2">
      <c r="A527" s="8">
        <f ca="1">IFERROR(__xludf.DUMMYFUNCTION("""COMPUTED_VALUE"""),45294.6474687037)</f>
        <v>45294.647468703697</v>
      </c>
      <c r="B527" s="1" t="str">
        <f ca="1">IFERROR(__xludf.DUMMYFUNCTION("""COMPUTED_VALUE"""),"CEC")</f>
        <v>CEC</v>
      </c>
      <c r="C527" s="1" t="str">
        <f ca="1">IFERROR(__xludf.DUMMYFUNCTION("""COMPUTED_VALUE"""),"ek077728838th")</f>
        <v>ek077728838th</v>
      </c>
      <c r="D527" s="1" t="str">
        <f ca="1">IFERROR(__xludf.DUMMYFUNCTION("""COMPUTED_VALUE"""),"พิณภา")</f>
        <v>พิณภา</v>
      </c>
      <c r="E527" s="1" t="str">
        <f ca="1">IFERROR(__xludf.DUMMYFUNCTION("""COMPUTED_VALUE"""),"084-2861510")</f>
        <v>084-2861510</v>
      </c>
      <c r="F527" s="1" t="str">
        <f ca="1">IFERROR(__xludf.DUMMYFUNCTION("""COMPUTED_VALUE"""),"77 แขวงทางหลวงสมุทรปราการ ศรีนครินทร์")</f>
        <v>77 แขวงทางหลวงสมุทรปราการ ศรีนครินทร์</v>
      </c>
      <c r="G527" s="1" t="str">
        <f ca="1">IFERROR(__xludf.DUMMYFUNCTION("""COMPUTED_VALUE"""),"นำจ่ายใหม่")</f>
        <v>นำจ่ายใหม่</v>
      </c>
      <c r="H527" s="1" t="str">
        <f ca="1">IFERROR(__xludf.DUMMYFUNCTION("""COMPUTED_VALUE"""),"-")</f>
        <v>-</v>
      </c>
      <c r="I527" s="1" t="str">
        <f ca="1">IFERROR(__xludf.DUMMYFUNCTION("""COMPUTED_VALUE"""),"-")</f>
        <v>-</v>
      </c>
      <c r="J527" s="1" t="str">
        <f ca="1">IFERROR(__xludf.DUMMYFUNCTION("""COMPUTED_VALUE"""),"DB2")</f>
        <v>DB2</v>
      </c>
      <c r="K527" s="1" t="str">
        <f ca="1">IFERROR(__xludf.DUMMYFUNCTION("""COMPUTED_VALUE"""),"ems10260evd2012")</f>
        <v>ems10260evd2012</v>
      </c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 ht="15.75" customHeight="1" x14ac:dyDescent="0.2">
      <c r="A528" s="8">
        <f ca="1">IFERROR(__xludf.DUMMYFUNCTION("""COMPUTED_VALUE"""),45295.4659783564)</f>
        <v>45295.465978356398</v>
      </c>
      <c r="B528" s="1" t="str">
        <f ca="1">IFERROR(__xludf.DUMMYFUNCTION("""COMPUTED_VALUE"""),"CEC")</f>
        <v>CEC</v>
      </c>
      <c r="C528" s="1" t="str">
        <f ca="1">IFERROR(__xludf.DUMMYFUNCTION("""COMPUTED_VALUE"""),"jf163633347th")</f>
        <v>jf163633347th</v>
      </c>
      <c r="D528" s="1" t="str">
        <f ca="1">IFERROR(__xludf.DUMMYFUNCTION("""COMPUTED_VALUE"""),"คัมภิรดา")</f>
        <v>คัมภิรดา</v>
      </c>
      <c r="E528" s="1" t="str">
        <f ca="1">IFERROR(__xludf.DUMMYFUNCTION("""COMPUTED_VALUE"""),"090-5545629")</f>
        <v>090-5545629</v>
      </c>
      <c r="F528" s="1" t="str">
        <f ca="1">IFERROR(__xludf.DUMMYFUNCTION("""COMPUTED_VALUE"""),"คอนโดรีเจ้นส์โฮม 22 ตึก ซี สุขุมวิท 85")</f>
        <v>คอนโดรีเจ้นส์โฮม 22 ตึก ซี สุขุมวิท 85</v>
      </c>
      <c r="G528" s="1" t="str">
        <f ca="1">IFERROR(__xludf.DUMMYFUNCTION("""COMPUTED_VALUE"""),"ตรวจสอบการนำจ่าย")</f>
        <v>ตรวจสอบการนำจ่าย</v>
      </c>
      <c r="H528" s="1" t="str">
        <f ca="1">IFERROR(__xludf.DUMMYFUNCTION("""COMPUTED_VALUE"""),"-")</f>
        <v>-</v>
      </c>
      <c r="I528" s="1" t="str">
        <f ca="1">IFERROR(__xludf.DUMMYFUNCTION("""COMPUTED_VALUE"""),"-")</f>
        <v>-</v>
      </c>
      <c r="J528" s="1" t="str">
        <f ca="1">IFERROR(__xludf.DUMMYFUNCTION("""COMPUTED_VALUE"""),"นำจ่ายรถยนต์")</f>
        <v>นำจ่ายรถยนต์</v>
      </c>
      <c r="K528" s="1" t="str">
        <f ca="1">IFERROR(__xludf.DUMMYFUNCTION("""COMPUTED_VALUE"""),"car10260evd3002")</f>
        <v>car10260evd3002</v>
      </c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 ht="15.75" customHeight="1" x14ac:dyDescent="0.2">
      <c r="A529" s="8">
        <f ca="1">IFERROR(__xludf.DUMMYFUNCTION("""COMPUTED_VALUE"""),45295.4683329629)</f>
        <v>45295.468332962897</v>
      </c>
      <c r="B529" s="1" t="str">
        <f ca="1">IFERROR(__xludf.DUMMYFUNCTION("""COMPUTED_VALUE"""),"CEC")</f>
        <v>CEC</v>
      </c>
      <c r="C529" s="1" t="str">
        <f ca="1">IFERROR(__xludf.DUMMYFUNCTION("""COMPUTED_VALUE"""),"re949250330th")</f>
        <v>re949250330th</v>
      </c>
      <c r="D529" s="1" t="str">
        <f ca="1">IFERROR(__xludf.DUMMYFUNCTION("""COMPUTED_VALUE"""),"รดาพร")</f>
        <v>รดาพร</v>
      </c>
      <c r="E529" s="1" t="str">
        <f ca="1">IFERROR(__xludf.DUMMYFUNCTION("""COMPUTED_VALUE"""),"092-5789781")</f>
        <v>092-5789781</v>
      </c>
      <c r="F529" s="1" t="str">
        <f ca="1">IFERROR(__xludf.DUMMYFUNCTION("""COMPUTED_VALUE"""),"90/22 ซ.สุขุมวิท 81")</f>
        <v>90/22 ซ.สุขุมวิท 81</v>
      </c>
      <c r="G529" s="1" t="str">
        <f ca="1">IFERROR(__xludf.DUMMYFUNCTION("""COMPUTED_VALUE"""),"ตรวจสอบการนำจ่าย")</f>
        <v>ตรวจสอบการนำจ่าย</v>
      </c>
      <c r="H529" s="1" t="str">
        <f ca="1">IFERROR(__xludf.DUMMYFUNCTION("""COMPUTED_VALUE"""),"-")</f>
        <v>-</v>
      </c>
      <c r="I529" s="1" t="str">
        <f ca="1">IFERROR(__xludf.DUMMYFUNCTION("""COMPUTED_VALUE"""),"-")</f>
        <v>-</v>
      </c>
      <c r="J529" s="1" t="str">
        <f ca="1">IFERROR(__xludf.DUMMYFUNCTION("""COMPUTED_VALUE"""),"DB3")</f>
        <v>DB3</v>
      </c>
      <c r="K529" s="1" t="str">
        <f ca="1">IFERROR(__xludf.DUMMYFUNCTION("""COMPUTED_VALUE"""),"ems10260evd3002")</f>
        <v>ems10260evd3002</v>
      </c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 ht="15.75" customHeight="1" x14ac:dyDescent="0.2">
      <c r="A530" s="8">
        <f ca="1">IFERROR(__xludf.DUMMYFUNCTION("""COMPUTED_VALUE"""),45295.4695037152)</f>
        <v>45295.469503715198</v>
      </c>
      <c r="B530" s="1" t="str">
        <f ca="1">IFERROR(__xludf.DUMMYFUNCTION("""COMPUTED_VALUE"""),"CEC")</f>
        <v>CEC</v>
      </c>
      <c r="C530" s="1" t="str">
        <f ca="1">IFERROR(__xludf.DUMMYFUNCTION("""COMPUTED_VALUE"""),"ed088159426th")</f>
        <v>ed088159426th</v>
      </c>
      <c r="D530" s="1" t="str">
        <f ca="1">IFERROR(__xludf.DUMMYFUNCTION("""COMPUTED_VALUE"""),"nang")</f>
        <v>nang</v>
      </c>
      <c r="E530" s="1" t="str">
        <f ca="1">IFERROR(__xludf.DUMMYFUNCTION("""COMPUTED_VALUE"""),"062-8279065 ผู้รับ/089-6770532 ผู้ส่ง")</f>
        <v>062-8279065 ผู้รับ/089-6770532 ผู้ส่ง</v>
      </c>
      <c r="F530" s="1" t="str">
        <f ca="1">IFERROR(__xludf.DUMMYFUNCTION("""COMPUTED_VALUE"""),"3009/267 คอนโดเดอะไลน์ สุขุมวิท 101")</f>
        <v>3009/267 คอนโดเดอะไลน์ สุขุมวิท 101</v>
      </c>
      <c r="G530" s="1" t="str">
        <f ca="1">IFERROR(__xludf.DUMMYFUNCTION("""COMPUTED_VALUE"""),"นำจ่ายใหม่")</f>
        <v>นำจ่ายใหม่</v>
      </c>
      <c r="H530" s="1" t="str">
        <f ca="1">IFERROR(__xludf.DUMMYFUNCTION("""COMPUTED_VALUE"""),"-")</f>
        <v>-</v>
      </c>
      <c r="I530" s="1" t="str">
        <f ca="1">IFERROR(__xludf.DUMMYFUNCTION("""COMPUTED_VALUE"""),"-")</f>
        <v>-</v>
      </c>
      <c r="J530" s="1" t="str">
        <f ca="1">IFERROR(__xludf.DUMMYFUNCTION("""COMPUTED_VALUE"""),"DB3")</f>
        <v>DB3</v>
      </c>
      <c r="K530" s="1" t="str">
        <f ca="1">IFERROR(__xludf.DUMMYFUNCTION("""COMPUTED_VALUE"""),"zne10260evd3002")</f>
        <v>zne10260evd3002</v>
      </c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 ht="15.75" customHeight="1" x14ac:dyDescent="0.2">
      <c r="A531" s="8">
        <f ca="1">IFERROR(__xludf.DUMMYFUNCTION("""COMPUTED_VALUE"""),45295.4710595833)</f>
        <v>45295.471059583302</v>
      </c>
      <c r="B531" s="1" t="str">
        <f ca="1">IFERROR(__xludf.DUMMYFUNCTION("""COMPUTED_VALUE"""),"CEC")</f>
        <v>CEC</v>
      </c>
      <c r="C531" s="1" t="str">
        <f ca="1">IFERROR(__xludf.DUMMYFUNCTION("""COMPUTED_VALUE"""),"ed105670671th")</f>
        <v>ed105670671th</v>
      </c>
      <c r="D531" s="1" t="str">
        <f ca="1">IFERROR(__xludf.DUMMYFUNCTION("""COMPUTED_VALUE"""),"กษาปณ์")</f>
        <v>กษาปณ์</v>
      </c>
      <c r="E531" s="1" t="str">
        <f ca="1">IFERROR(__xludf.DUMMYFUNCTION("""COMPUTED_VALUE"""),"095-4272067")</f>
        <v>095-4272067</v>
      </c>
      <c r="F531" s="1" t="str">
        <f ca="1">IFERROR(__xludf.DUMMYFUNCTION("""COMPUTED_VALUE"""),"กรมสรรพาวุธทหารเรือ สุขุมวิท")</f>
        <v>กรมสรรพาวุธทหารเรือ สุขุมวิท</v>
      </c>
      <c r="G531" s="1" t="str">
        <f ca="1">IFERROR(__xludf.DUMMYFUNCTION("""COMPUTED_VALUE"""),"ตรวจสอบการนำจ่าย")</f>
        <v>ตรวจสอบการนำจ่าย</v>
      </c>
      <c r="H531" s="1" t="str">
        <f ca="1">IFERROR(__xludf.DUMMYFUNCTION("""COMPUTED_VALUE"""),"-")</f>
        <v>-</v>
      </c>
      <c r="I531" s="1" t="str">
        <f ca="1">IFERROR(__xludf.DUMMYFUNCTION("""COMPUTED_VALUE"""),"-")</f>
        <v>-</v>
      </c>
      <c r="J531" s="1" t="str">
        <f ca="1">IFERROR(__xludf.DUMMYFUNCTION("""COMPUTED_VALUE"""),"นำจ่ายรถยนต์")</f>
        <v>นำจ่ายรถยนต์</v>
      </c>
      <c r="K531" s="1" t="str">
        <f ca="1">IFERROR(__xludf.DUMMYFUNCTION("""COMPUTED_VALUE"""),"car10260evd5004")</f>
        <v>car10260evd5004</v>
      </c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 ht="15.75" customHeight="1" x14ac:dyDescent="0.2">
      <c r="A532" s="8">
        <f ca="1">IFERROR(__xludf.DUMMYFUNCTION("""COMPUTED_VALUE"""),45295.5854966551)</f>
        <v>45295.585496655098</v>
      </c>
      <c r="B532" s="1" t="str">
        <f ca="1">IFERROR(__xludf.DUMMYFUNCTION("""COMPUTED_VALUE"""),"CEC")</f>
        <v>CEC</v>
      </c>
      <c r="C532" s="1" t="str">
        <f ca="1">IFERROR(__xludf.DUMMYFUNCTION("""COMPUTED_VALUE"""),"jf160417922th")</f>
        <v>jf160417922th</v>
      </c>
      <c r="D532" s="1" t="str">
        <f ca="1">IFERROR(__xludf.DUMMYFUNCTION("""COMPUTED_VALUE"""),"กฤตภัค")</f>
        <v>กฤตภัค</v>
      </c>
      <c r="E532" s="1" t="str">
        <f ca="1">IFERROR(__xludf.DUMMYFUNCTION("""COMPUTED_VALUE"""),"091-8075846")</f>
        <v>091-8075846</v>
      </c>
      <c r="F532" s="1" t="str">
        <f ca="1">IFERROR(__xludf.DUMMYFUNCTION("""COMPUTED_VALUE"""),"96 ซงลาซาน 1 แยก 2 ซ.105")</f>
        <v>96 ซงลาซาน 1 แยก 2 ซ.105</v>
      </c>
      <c r="G532" s="1" t="str">
        <f ca="1">IFERROR(__xludf.DUMMYFUNCTION("""COMPUTED_VALUE"""),"ตรวจสอบการนำจ่าย")</f>
        <v>ตรวจสอบการนำจ่าย</v>
      </c>
      <c r="H532" s="1" t="str">
        <f ca="1">IFERROR(__xludf.DUMMYFUNCTION("""COMPUTED_VALUE"""),"COD.3456 บาท จ่ายวันที่ 8/1/67")</f>
        <v>COD.3456 บาท จ่ายวันที่ 8/1/67</v>
      </c>
      <c r="I532" s="1" t="str">
        <f ca="1">IFERROR(__xludf.DUMMYFUNCTION("""COMPUTED_VALUE"""),"-")</f>
        <v>-</v>
      </c>
      <c r="J532" s="1" t="str">
        <f ca="1">IFERROR(__xludf.DUMMYFUNCTION("""COMPUTED_VALUE"""),"DB1")</f>
        <v>DB1</v>
      </c>
      <c r="K532" s="1" t="str">
        <f ca="1">IFERROR(__xludf.DUMMYFUNCTION("""COMPUTED_VALUE"""),"ems10260evd1036")</f>
        <v>ems10260evd1036</v>
      </c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 ht="15.75" customHeight="1" x14ac:dyDescent="0.2">
      <c r="A533" s="8">
        <f ca="1">IFERROR(__xludf.DUMMYFUNCTION("""COMPUTED_VALUE"""),45295.5864331481)</f>
        <v>45295.586433148099</v>
      </c>
      <c r="B533" s="1" t="str">
        <f ca="1">IFERROR(__xludf.DUMMYFUNCTION("""COMPUTED_VALUE"""),"CEC")</f>
        <v>CEC</v>
      </c>
      <c r="C533" s="1" t="str">
        <f ca="1">IFERROR(__xludf.DUMMYFUNCTION("""COMPUTED_VALUE"""),"em288668662th")</f>
        <v>em288668662th</v>
      </c>
      <c r="D533" s="1" t="str">
        <f ca="1">IFERROR(__xludf.DUMMYFUNCTION("""COMPUTED_VALUE"""),"จริยา")</f>
        <v>จริยา</v>
      </c>
      <c r="E533" s="1" t="str">
        <f ca="1">IFERROR(__xludf.DUMMYFUNCTION("""COMPUTED_VALUE"""),"080-6964868")</f>
        <v>080-6964868</v>
      </c>
      <c r="F533" s="1" t="str">
        <f ca="1">IFERROR(__xludf.DUMMYFUNCTION("""COMPUTED_VALUE"""),"2106 บ.ดี เค เอส เอช สุขุมวิท")</f>
        <v>2106 บ.ดี เค เอส เอช สุขุมวิท</v>
      </c>
      <c r="G533" s="1" t="str">
        <f ca="1">IFERROR(__xludf.DUMMYFUNCTION("""COMPUTED_VALUE"""),"ตรวจสอบการนำจ่าย")</f>
        <v>ตรวจสอบการนำจ่าย</v>
      </c>
      <c r="H533" s="1" t="str">
        <f ca="1">IFERROR(__xludf.DUMMYFUNCTION("""COMPUTED_VALUE"""),"-")</f>
        <v>-</v>
      </c>
      <c r="I533" s="1" t="str">
        <f ca="1">IFERROR(__xludf.DUMMYFUNCTION("""COMPUTED_VALUE"""),"-")</f>
        <v>-</v>
      </c>
      <c r="J533" s="1" t="str">
        <f ca="1">IFERROR(__xludf.DUMMYFUNCTION("""COMPUTED_VALUE"""),"นำจ่ายรถยนต์")</f>
        <v>นำจ่ายรถยนต์</v>
      </c>
      <c r="K533" s="1" t="str">
        <f ca="1">IFERROR(__xludf.DUMMYFUNCTION("""COMPUTED_VALUE"""),"car10260evd5001")</f>
        <v>car10260evd5001</v>
      </c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 ht="15.75" customHeight="1" x14ac:dyDescent="0.2">
      <c r="A534" s="8">
        <f ca="1">IFERROR(__xludf.DUMMYFUNCTION("""COMPUTED_VALUE"""),45295.5876153819)</f>
        <v>45295.587615381897</v>
      </c>
      <c r="B534" s="1" t="str">
        <f ca="1">IFERROR(__xludf.DUMMYFUNCTION("""COMPUTED_VALUE"""),"CEC")</f>
        <v>CEC</v>
      </c>
      <c r="C534" s="1" t="str">
        <f ca="1">IFERROR(__xludf.DUMMYFUNCTION("""COMPUTED_VALUE"""),"jf160574083th")</f>
        <v>jf160574083th</v>
      </c>
      <c r="D534" s="1" t="str">
        <f ca="1">IFERROR(__xludf.DUMMYFUNCTION("""COMPUTED_VALUE"""),"นาวี")</f>
        <v>นาวี</v>
      </c>
      <c r="E534" s="1" t="str">
        <f ca="1">IFERROR(__xludf.DUMMYFUNCTION("""COMPUTED_VALUE"""),"096-6929564")</f>
        <v>096-6929564</v>
      </c>
      <c r="F534" s="1" t="str">
        <f ca="1">IFERROR(__xludf.DUMMYFUNCTION("""COMPUTED_VALUE"""),"65/88 บ้านธารารินทร์ แบริ่ง25 ซ.107")</f>
        <v>65/88 บ้านธารารินทร์ แบริ่ง25 ซ.107</v>
      </c>
      <c r="G534" s="1" t="str">
        <f ca="1">IFERROR(__xludf.DUMMYFUNCTION("""COMPUTED_VALUE"""),"นำจ่ายใหม่")</f>
        <v>นำจ่ายใหม่</v>
      </c>
      <c r="H534" s="1" t="str">
        <f ca="1">IFERROR(__xludf.DUMMYFUNCTION("""COMPUTED_VALUE"""),"COD.1490 บาท")</f>
        <v>COD.1490 บาท</v>
      </c>
      <c r="I534" s="1" t="str">
        <f ca="1">IFERROR(__xludf.DUMMYFUNCTION("""COMPUTED_VALUE"""),"-")</f>
        <v>-</v>
      </c>
      <c r="J534" s="1" t="str">
        <f ca="1">IFERROR(__xludf.DUMMYFUNCTION("""COMPUTED_VALUE"""),"นำจ่ายรถยนต์")</f>
        <v>นำจ่ายรถยนต์</v>
      </c>
      <c r="K534" s="1" t="str">
        <f ca="1">IFERROR(__xludf.DUMMYFUNCTION("""COMPUTED_VALUE"""),"car10260evd5005")</f>
        <v>car10260evd5005</v>
      </c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 ht="15.75" customHeight="1" x14ac:dyDescent="0.2">
      <c r="A535" s="8">
        <f ca="1">IFERROR(__xludf.DUMMYFUNCTION("""COMPUTED_VALUE"""),45295.5892652314)</f>
        <v>45295.5892652314</v>
      </c>
      <c r="B535" s="1" t="str">
        <f ca="1">IFERROR(__xludf.DUMMYFUNCTION("""COMPUTED_VALUE"""),"CEC")</f>
        <v>CEC</v>
      </c>
      <c r="C535" s="1" t="str">
        <f ca="1">IFERROR(__xludf.DUMMYFUNCTION("""COMPUTED_VALUE"""),"jf155096505th")</f>
        <v>jf155096505th</v>
      </c>
      <c r="D535" s="1" t="str">
        <f ca="1">IFERROR(__xludf.DUMMYFUNCTION("""COMPUTED_VALUE"""),"สมชาย")</f>
        <v>สมชาย</v>
      </c>
      <c r="E535" s="1" t="str">
        <f ca="1">IFERROR(__xludf.DUMMYFUNCTION("""COMPUTED_VALUE"""),"080-5272117")</f>
        <v>080-5272117</v>
      </c>
      <c r="F535" s="1" t="str">
        <f ca="1">IFERROR(__xludf.DUMMYFUNCTION("""COMPUTED_VALUE"""),"361 ซ.สาธิต 21 สุขุมวิท 101/1")</f>
        <v>361 ซ.สาธิต 21 สุขุมวิท 101/1</v>
      </c>
      <c r="G535" s="1" t="str">
        <f ca="1">IFERROR(__xludf.DUMMYFUNCTION("""COMPUTED_VALUE"""),"ตรวจสอบการนำจ่าย")</f>
        <v>ตรวจสอบการนำจ่าย</v>
      </c>
      <c r="H535" s="1" t="str">
        <f ca="1">IFERROR(__xludf.DUMMYFUNCTION("""COMPUTED_VALUE"""),"COD.750 บาท นำจ่ายแล้ว")</f>
        <v>COD.750 บาท นำจ่ายแล้ว</v>
      </c>
      <c r="I535" s="1" t="str">
        <f ca="1">IFERROR(__xludf.DUMMYFUNCTION("""COMPUTED_VALUE"""),"-")</f>
        <v>-</v>
      </c>
      <c r="J535" s="1" t="str">
        <f ca="1">IFERROR(__xludf.DUMMYFUNCTION("""COMPUTED_VALUE"""),"นำจ่ายรถยนต์")</f>
        <v>นำจ่ายรถยนต์</v>
      </c>
      <c r="K535" s="1" t="str">
        <f ca="1">IFERROR(__xludf.DUMMYFUNCTION("""COMPUTED_VALUE"""),"car10260evd5011")</f>
        <v>car10260evd5011</v>
      </c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 ht="15.75" customHeight="1" x14ac:dyDescent="0.2">
      <c r="A536" s="8">
        <f ca="1">IFERROR(__xludf.DUMMYFUNCTION("""COMPUTED_VALUE"""),45295.6147361342)</f>
        <v>45295.614736134201</v>
      </c>
      <c r="B536" s="1" t="str">
        <f ca="1">IFERROR(__xludf.DUMMYFUNCTION("""COMPUTED_VALUE"""),"CEC")</f>
        <v>CEC</v>
      </c>
      <c r="C536" s="1" t="str">
        <f ca="1">IFERROR(__xludf.DUMMYFUNCTION("""COMPUTED_VALUE"""),"em425021603th")</f>
        <v>em425021603th</v>
      </c>
      <c r="D536" s="1" t="str">
        <f ca="1">IFERROR(__xludf.DUMMYFUNCTION("""COMPUTED_VALUE"""),"มณฑ์สิริ")</f>
        <v>มณฑ์สิริ</v>
      </c>
      <c r="E536" s="1" t="str">
        <f ca="1">IFERROR(__xludf.DUMMYFUNCTION("""COMPUTED_VALUE"""),"081-4449625")</f>
        <v>081-4449625</v>
      </c>
      <c r="F536" s="1" t="str">
        <f ca="1">IFERROR(__xludf.DUMMYFUNCTION("""COMPUTED_VALUE"""),"39 บ.เดวา ฯ ซ.สุขุมวิท 101/2")</f>
        <v>39 บ.เดวา ฯ ซ.สุขุมวิท 101/2</v>
      </c>
      <c r="G536" s="1" t="str">
        <f ca="1">IFERROR(__xludf.DUMMYFUNCTION("""COMPUTED_VALUE"""),"ตรวจสอบการนำจ่าย")</f>
        <v>ตรวจสอบการนำจ่าย</v>
      </c>
      <c r="H536" s="1" t="str">
        <f ca="1">IFERROR(__xludf.DUMMYFUNCTION("""COMPUTED_VALUE"""),"-")</f>
        <v>-</v>
      </c>
      <c r="I536" s="1" t="str">
        <f ca="1">IFERROR(__xludf.DUMMYFUNCTION("""COMPUTED_VALUE"""),"-")</f>
        <v>-</v>
      </c>
      <c r="J536" s="1" t="str">
        <f ca="1">IFERROR(__xludf.DUMMYFUNCTION("""COMPUTED_VALUE"""),"DB2")</f>
        <v>DB2</v>
      </c>
      <c r="K536" s="1" t="str">
        <f ca="1">IFERROR(__xludf.DUMMYFUNCTION("""COMPUTED_VALUE"""),"ems10260evd2020")</f>
        <v>ems10260evd2020</v>
      </c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 ht="15.75" customHeight="1" x14ac:dyDescent="0.2">
      <c r="A537" s="8">
        <f ca="1">IFERROR(__xludf.DUMMYFUNCTION("""COMPUTED_VALUE"""),45295.6157885995)</f>
        <v>45295.615788599498</v>
      </c>
      <c r="B537" s="1" t="str">
        <f ca="1">IFERROR(__xludf.DUMMYFUNCTION("""COMPUTED_VALUE"""),"CEC")</f>
        <v>CEC</v>
      </c>
      <c r="C537" s="1" t="str">
        <f ca="1">IFERROR(__xludf.DUMMYFUNCTION("""COMPUTED_VALUE"""),"ob134933738th")</f>
        <v>ob134933738th</v>
      </c>
      <c r="D537" s="1" t="str">
        <f ca="1">IFERROR(__xludf.DUMMYFUNCTION("""COMPUTED_VALUE"""),"จารุณี")</f>
        <v>จารุณี</v>
      </c>
      <c r="E537" s="1" t="str">
        <f ca="1">IFERROR(__xludf.DUMMYFUNCTION("""COMPUTED_VALUE"""),"086-3279346")</f>
        <v>086-3279346</v>
      </c>
      <c r="F537" s="1" t="str">
        <f ca="1">IFERROR(__xludf.DUMMYFUNCTION("""COMPUTED_VALUE"""),"219/12  (52 ) บ้านไพโรจน์ บางนา ตราด27")</f>
        <v>219/12  (52 ) บ้านไพโรจน์ บางนา ตราด27</v>
      </c>
      <c r="G537" s="1" t="str">
        <f ca="1">IFERROR(__xludf.DUMMYFUNCTION("""COMPUTED_VALUE"""),"ตรวจสอบการนำจ่าย")</f>
        <v>ตรวจสอบการนำจ่าย</v>
      </c>
      <c r="H537" s="1" t="str">
        <f ca="1">IFERROR(__xludf.DUMMYFUNCTION("""COMPUTED_VALUE"""),"-")</f>
        <v>-</v>
      </c>
      <c r="I537" s="1" t="str">
        <f ca="1">IFERROR(__xludf.DUMMYFUNCTION("""COMPUTED_VALUE"""),"-")</f>
        <v>-</v>
      </c>
      <c r="J537" s="1" t="str">
        <f ca="1">IFERROR(__xludf.DUMMYFUNCTION("""COMPUTED_VALUE"""),"DB2")</f>
        <v>DB2</v>
      </c>
      <c r="K537" s="1" t="str">
        <f ca="1">IFERROR(__xludf.DUMMYFUNCTION("""COMPUTED_VALUE"""),"ems10260evd2012")</f>
        <v>ems10260evd2012</v>
      </c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 ht="15.75" customHeight="1" x14ac:dyDescent="0.2">
      <c r="A538" s="8">
        <f ca="1">IFERROR(__xludf.DUMMYFUNCTION("""COMPUTED_VALUE"""),45295.6182599652)</f>
        <v>45295.618259965202</v>
      </c>
      <c r="B538" s="1" t="str">
        <f ca="1">IFERROR(__xludf.DUMMYFUNCTION("""COMPUTED_VALUE"""),"CEC")</f>
        <v>CEC</v>
      </c>
      <c r="C538" s="1" t="str">
        <f ca="1">IFERROR(__xludf.DUMMYFUNCTION("""COMPUTED_VALUE"""),"ed116011131th")</f>
        <v>ed116011131th</v>
      </c>
      <c r="D538" s="1" t="str">
        <f ca="1">IFERROR(__xludf.DUMMYFUNCTION("""COMPUTED_VALUE"""),"สุริวัสสา")</f>
        <v>สุริวัสสา</v>
      </c>
      <c r="E538" s="1" t="str">
        <f ca="1">IFERROR(__xludf.DUMMYFUNCTION("""COMPUTED_VALUE"""),"084-4538338")</f>
        <v>084-4538338</v>
      </c>
      <c r="F538" s="1" t="str">
        <f ca="1">IFERROR(__xludf.DUMMYFUNCTION("""COMPUTED_VALUE"""),"223/97 อาคารคันทรีคอมเพล็กซ์ สรรพาวุธ")</f>
        <v>223/97 อาคารคันทรีคอมเพล็กซ์ สรรพาวุธ</v>
      </c>
      <c r="G538" s="1" t="str">
        <f ca="1">IFERROR(__xludf.DUMMYFUNCTION("""COMPUTED_VALUE"""),"ตรวจสอบการนำจ่าย")</f>
        <v>ตรวจสอบการนำจ่าย</v>
      </c>
      <c r="H538" s="1" t="str">
        <f ca="1">IFERROR(__xludf.DUMMYFUNCTION("""COMPUTED_VALUE"""),"-")</f>
        <v>-</v>
      </c>
      <c r="I538" s="1" t="str">
        <f ca="1">IFERROR(__xludf.DUMMYFUNCTION("""COMPUTED_VALUE"""),"-")</f>
        <v>-</v>
      </c>
      <c r="J538" s="1" t="str">
        <f ca="1">IFERROR(__xludf.DUMMYFUNCTION("""COMPUTED_VALUE"""),"นำจ่ายรถยนต์")</f>
        <v>นำจ่ายรถยนต์</v>
      </c>
      <c r="K538" s="1" t="str">
        <f ca="1">IFERROR(__xludf.DUMMYFUNCTION("""COMPUTED_VALUE"""),"car10260evd5004")</f>
        <v>car10260evd5004</v>
      </c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 ht="15.75" customHeight="1" x14ac:dyDescent="0.2">
      <c r="A539" s="8">
        <f ca="1">IFERROR(__xludf.DUMMYFUNCTION("""COMPUTED_VALUE"""),45295.6290317361)</f>
        <v>45295.629031736098</v>
      </c>
      <c r="B539" s="1" t="str">
        <f ca="1">IFERROR(__xludf.DUMMYFUNCTION("""COMPUTED_VALUE"""),"CEC")</f>
        <v>CEC</v>
      </c>
      <c r="C539" s="1" t="str">
        <f ca="1">IFERROR(__xludf.DUMMYFUNCTION("""COMPUTED_VALUE"""),"re873932781th")</f>
        <v>re873932781th</v>
      </c>
      <c r="D539" s="1" t="str">
        <f ca="1">IFERROR(__xludf.DUMMYFUNCTION("""COMPUTED_VALUE"""),"ชนายุทธ")</f>
        <v>ชนายุทธ</v>
      </c>
      <c r="E539" s="1" t="str">
        <f ca="1">IFERROR(__xludf.DUMMYFUNCTION("""COMPUTED_VALUE"""),"066-1247321")</f>
        <v>066-1247321</v>
      </c>
      <c r="F539" s="1" t="str">
        <f ca="1">IFERROR(__xludf.DUMMYFUNCTION("""COMPUTED_VALUE"""),"69/52 พลัมคอนโด สุขุมวิท 62")</f>
        <v>69/52 พลัมคอนโด สุขุมวิท 62</v>
      </c>
      <c r="G539" s="1" t="str">
        <f ca="1">IFERROR(__xludf.DUMMYFUNCTION("""COMPUTED_VALUE"""),"นำจ่ายใหม่")</f>
        <v>นำจ่ายใหม่</v>
      </c>
      <c r="H539" s="1" t="str">
        <f ca="1">IFERROR(__xludf.DUMMYFUNCTION("""COMPUTED_VALUE"""),"-")</f>
        <v>-</v>
      </c>
      <c r="I539" s="1" t="str">
        <f ca="1">IFERROR(__xludf.DUMMYFUNCTION("""COMPUTED_VALUE"""),"-")</f>
        <v>-</v>
      </c>
      <c r="J539" s="1" t="str">
        <f ca="1">IFERROR(__xludf.DUMMYFUNCTION("""COMPUTED_VALUE"""),"DB4")</f>
        <v>DB4</v>
      </c>
      <c r="K539" s="1" t="str">
        <f ca="1">IFERROR(__xludf.DUMMYFUNCTION("""COMPUTED_VALUE"""),"car10260evd4002")</f>
        <v>car10260evd4002</v>
      </c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 ht="15.75" customHeight="1" x14ac:dyDescent="0.2">
      <c r="A540" s="8">
        <f ca="1">IFERROR(__xludf.DUMMYFUNCTION("""COMPUTED_VALUE"""),45295.6441601273)</f>
        <v>45295.644160127304</v>
      </c>
      <c r="B540" s="1" t="str">
        <f ca="1">IFERROR(__xludf.DUMMYFUNCTION("""COMPUTED_VALUE"""),"CEC")</f>
        <v>CEC</v>
      </c>
      <c r="C540" s="1" t="str">
        <f ca="1">IFERROR(__xludf.DUMMYFUNCTION("""COMPUTED_VALUE"""),"jf162863953th")</f>
        <v>jf162863953th</v>
      </c>
      <c r="D540" s="1" t="str">
        <f ca="1">IFERROR(__xludf.DUMMYFUNCTION("""COMPUTED_VALUE"""),"นู๋ เนย ")</f>
        <v xml:space="preserve">นู๋ เนย </v>
      </c>
      <c r="E540" s="1" t="str">
        <f ca="1">IFERROR(__xludf.DUMMYFUNCTION("""COMPUTED_VALUE"""),"064-8671027")</f>
        <v>064-8671027</v>
      </c>
      <c r="F540" s="1" t="str">
        <f ca="1">IFERROR(__xludf.DUMMYFUNCTION("""COMPUTED_VALUE"""),"409 ม.3 ซ.ลาซาน 21 สุขุมวิท 105")</f>
        <v>409 ม.3 ซ.ลาซาน 21 สุขุมวิท 105</v>
      </c>
      <c r="G540" s="1" t="str">
        <f ca="1">IFERROR(__xludf.DUMMYFUNCTION("""COMPUTED_VALUE"""),"นำจ่ายใหม่")</f>
        <v>นำจ่ายใหม่</v>
      </c>
      <c r="H540" s="1" t="str">
        <f ca="1">IFERROR(__xludf.DUMMYFUNCTION("""COMPUTED_VALUE"""),"-")</f>
        <v>-</v>
      </c>
      <c r="I540" s="1" t="str">
        <f ca="1">IFERROR(__xludf.DUMMYFUNCTION("""COMPUTED_VALUE"""),"-")</f>
        <v>-</v>
      </c>
      <c r="J540" s="1" t="str">
        <f ca="1">IFERROR(__xludf.DUMMYFUNCTION("""COMPUTED_VALUE"""),"DB1")</f>
        <v>DB1</v>
      </c>
      <c r="K540" s="1" t="str">
        <f ca="1">IFERROR(__xludf.DUMMYFUNCTION("""COMPUTED_VALUE"""),"zne10260evd1004")</f>
        <v>zne10260evd1004</v>
      </c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 ht="15.75" customHeight="1" x14ac:dyDescent="0.2">
      <c r="A541" s="8">
        <f ca="1">IFERROR(__xludf.DUMMYFUNCTION("""COMPUTED_VALUE"""),45295.6797768634)</f>
        <v>45295.679776863399</v>
      </c>
      <c r="B541" s="1" t="str">
        <f ca="1">IFERROR(__xludf.DUMMYFUNCTION("""COMPUTED_VALUE"""),"CEC")</f>
        <v>CEC</v>
      </c>
      <c r="C541" s="1" t="str">
        <f ca="1">IFERROR(__xludf.DUMMYFUNCTION("""COMPUTED_VALUE"""),"ed115653001th")</f>
        <v>ed115653001th</v>
      </c>
      <c r="D541" s="1" t="str">
        <f ca="1">IFERROR(__xludf.DUMMYFUNCTION("""COMPUTED_VALUE"""),"prin")</f>
        <v>prin</v>
      </c>
      <c r="E541" s="1" t="str">
        <f ca="1">IFERROR(__xludf.DUMMYFUNCTION("""COMPUTED_VALUE"""),"081-1133508")</f>
        <v>081-1133508</v>
      </c>
      <c r="F541" s="1" t="str">
        <f ca="1">IFERROR(__xludf.DUMMYFUNCTION("""COMPUTED_VALUE"""),"146-148 ตึกแถว ถ.ลาซาน ซ.105")</f>
        <v>146-148 ตึกแถว ถ.ลาซาน ซ.105</v>
      </c>
      <c r="G541" s="1" t="str">
        <f ca="1">IFERROR(__xludf.DUMMYFUNCTION("""COMPUTED_VALUE"""),"นำจ่ายใหม่")</f>
        <v>นำจ่ายใหม่</v>
      </c>
      <c r="H541" s="1" t="str">
        <f ca="1">IFERROR(__xludf.DUMMYFUNCTION("""COMPUTED_VALUE"""),"-")</f>
        <v>-</v>
      </c>
      <c r="I541" s="1" t="str">
        <f ca="1">IFERROR(__xludf.DUMMYFUNCTION("""COMPUTED_VALUE"""),"-")</f>
        <v>-</v>
      </c>
      <c r="J541" s="1" t="str">
        <f ca="1">IFERROR(__xludf.DUMMYFUNCTION("""COMPUTED_VALUE"""),"DB1")</f>
        <v>DB1</v>
      </c>
      <c r="K541" s="1" t="str">
        <f ca="1">IFERROR(__xludf.DUMMYFUNCTION("""COMPUTED_VALUE"""),"ems10260evd1019")</f>
        <v>ems10260evd1019</v>
      </c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 ht="15.75" customHeight="1" x14ac:dyDescent="0.2">
      <c r="A542" s="8">
        <f ca="1">IFERROR(__xludf.DUMMYFUNCTION("""COMPUTED_VALUE"""),45296.4615251273)</f>
        <v>45296.461525127299</v>
      </c>
      <c r="B542" s="1" t="str">
        <f ca="1">IFERROR(__xludf.DUMMYFUNCTION("""COMPUTED_VALUE"""),"CEC")</f>
        <v>CEC</v>
      </c>
      <c r="C542" s="1" t="str">
        <f ca="1">IFERROR(__xludf.DUMMYFUNCTION("""COMPUTED_VALUE"""),"ri922032115th")</f>
        <v>ri922032115th</v>
      </c>
      <c r="D542" s="1" t="str">
        <f ca="1">IFERROR(__xludf.DUMMYFUNCTION("""COMPUTED_VALUE"""),"ภูริทัศน์")</f>
        <v>ภูริทัศน์</v>
      </c>
      <c r="E542" s="1" t="str">
        <f ca="1">IFERROR(__xludf.DUMMYFUNCTION("""COMPUTED_VALUE"""),"081-2489333")</f>
        <v>081-2489333</v>
      </c>
      <c r="F542" s="1" t="str">
        <f ca="1">IFERROR(__xludf.DUMMYFUNCTION("""COMPUTED_VALUE"""),"400 (825) อาคารไพโรจน์กิจจา ชั่นบี1 บางนา ตราด")</f>
        <v>400 (825) อาคารไพโรจน์กิจจา ชั่นบี1 บางนา ตราด</v>
      </c>
      <c r="G542" s="1" t="str">
        <f ca="1">IFERROR(__xludf.DUMMYFUNCTION("""COMPUTED_VALUE"""),"ตรวจสอบการนำจ่าย")</f>
        <v>ตรวจสอบการนำจ่าย</v>
      </c>
      <c r="H542" s="1" t="str">
        <f ca="1">IFERROR(__xludf.DUMMYFUNCTION("""COMPUTED_VALUE"""),"-")</f>
        <v>-</v>
      </c>
      <c r="I542" s="1" t="str">
        <f ca="1">IFERROR(__xludf.DUMMYFUNCTION("""COMPUTED_VALUE"""),"-")</f>
        <v>-</v>
      </c>
      <c r="J542" s="1" t="str">
        <f ca="1">IFERROR(__xludf.DUMMYFUNCTION("""COMPUTED_VALUE"""),"DB2")</f>
        <v>DB2</v>
      </c>
      <c r="K542" s="1" t="str">
        <f ca="1">IFERROR(__xludf.DUMMYFUNCTION("""COMPUTED_VALUE"""),"car10260evd2011")</f>
        <v>car10260evd2011</v>
      </c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 ht="15.75" customHeight="1" x14ac:dyDescent="0.2">
      <c r="A543" s="8">
        <f ca="1">IFERROR(__xludf.DUMMYFUNCTION("""COMPUTED_VALUE"""),45296.4625510879)</f>
        <v>45296.462551087898</v>
      </c>
      <c r="B543" s="1" t="str">
        <f ca="1">IFERROR(__xludf.DUMMYFUNCTION("""COMPUTED_VALUE"""),"CEC")</f>
        <v>CEC</v>
      </c>
      <c r="C543" s="1" t="str">
        <f ca="1">IFERROR(__xludf.DUMMYFUNCTION("""COMPUTED_VALUE"""),"jf166173035th")</f>
        <v>jf166173035th</v>
      </c>
      <c r="D543" s="1" t="str">
        <f ca="1">IFERROR(__xludf.DUMMYFUNCTION("""COMPUTED_VALUE"""),"ทิพย์")</f>
        <v>ทิพย์</v>
      </c>
      <c r="E543" s="1" t="str">
        <f ca="1">IFERROR(__xludf.DUMMYFUNCTION("""COMPUTED_VALUE"""),"089-7098717")</f>
        <v>089-7098717</v>
      </c>
      <c r="F543" s="1" t="str">
        <f ca="1">IFERROR(__xludf.DUMMYFUNCTION("""COMPUTED_VALUE"""),"ร้านโนบิชา สาขาเซ็นทรัลบางนา ชั่น บี1 บางนา ตราด")</f>
        <v>ร้านโนบิชา สาขาเซ็นทรัลบางนา ชั่น บี1 บางนา ตราด</v>
      </c>
      <c r="G543" s="1" t="str">
        <f ca="1">IFERROR(__xludf.DUMMYFUNCTION("""COMPUTED_VALUE"""),"ตรวจสอบการนำจ่าย")</f>
        <v>ตรวจสอบการนำจ่าย</v>
      </c>
      <c r="H543" s="1" t="str">
        <f ca="1">IFERROR(__xludf.DUMMYFUNCTION("""COMPUTED_VALUE"""),"-")</f>
        <v>-</v>
      </c>
      <c r="I543" s="1" t="str">
        <f ca="1">IFERROR(__xludf.DUMMYFUNCTION("""COMPUTED_VALUE"""),"-")</f>
        <v>-</v>
      </c>
      <c r="J543" s="1" t="str">
        <f ca="1">IFERROR(__xludf.DUMMYFUNCTION("""COMPUTED_VALUE"""),"นำจ่ายรถยนต์")</f>
        <v>นำจ่ายรถยนต์</v>
      </c>
      <c r="K543" s="1" t="str">
        <f ca="1">IFERROR(__xludf.DUMMYFUNCTION("""COMPUTED_VALUE"""),"car10260evd5007")</f>
        <v>car10260evd5007</v>
      </c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 ht="15.75" customHeight="1" x14ac:dyDescent="0.2">
      <c r="A544" s="8">
        <f ca="1">IFERROR(__xludf.DUMMYFUNCTION("""COMPUTED_VALUE"""),45296.463528206)</f>
        <v>45296.463528205997</v>
      </c>
      <c r="B544" s="1" t="str">
        <f ca="1">IFERROR(__xludf.DUMMYFUNCTION("""COMPUTED_VALUE"""),"CEC")</f>
        <v>CEC</v>
      </c>
      <c r="C544" s="1" t="str">
        <f ca="1">IFERROR(__xludf.DUMMYFUNCTION("""COMPUTED_VALUE"""),"ed228615027th")</f>
        <v>ed228615027th</v>
      </c>
      <c r="D544" s="1" t="str">
        <f ca="1">IFERROR(__xludf.DUMMYFUNCTION("""COMPUTED_VALUE"""),"นลินทิพย์")</f>
        <v>นลินทิพย์</v>
      </c>
      <c r="E544" s="1" t="str">
        <f ca="1">IFERROR(__xludf.DUMMYFUNCTION("""COMPUTED_VALUE"""),"094-2979516")</f>
        <v>094-2979516</v>
      </c>
      <c r="F544" s="1" t="str">
        <f ca="1">IFERROR(__xludf.DUMMYFUNCTION("""COMPUTED_VALUE"""),"อาคารทรูดิติตอลปาร์ค สุขุมวิท")</f>
        <v>อาคารทรูดิติตอลปาร์ค สุขุมวิท</v>
      </c>
      <c r="G544" s="1" t="str">
        <f ca="1">IFERROR(__xludf.DUMMYFUNCTION("""COMPUTED_VALUE"""),"ตรวจสอบการนำจ่าย")</f>
        <v>ตรวจสอบการนำจ่าย</v>
      </c>
      <c r="H544" s="1" t="str">
        <f ca="1">IFERROR(__xludf.DUMMYFUNCTION("""COMPUTED_VALUE"""),"-")</f>
        <v>-</v>
      </c>
      <c r="I544" s="1" t="str">
        <f ca="1">IFERROR(__xludf.DUMMYFUNCTION("""COMPUTED_VALUE"""),"-")</f>
        <v>-</v>
      </c>
      <c r="J544" s="1" t="str">
        <f ca="1">IFERROR(__xludf.DUMMYFUNCTION("""COMPUTED_VALUE"""),"นำจ่ายรถยนต์")</f>
        <v>นำจ่ายรถยนต์</v>
      </c>
      <c r="K544" s="1" t="str">
        <f ca="1">IFERROR(__xludf.DUMMYFUNCTION("""COMPUTED_VALUE"""),"car10260evd5010")</f>
        <v>car10260evd5010</v>
      </c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 ht="15.75" customHeight="1" x14ac:dyDescent="0.2">
      <c r="A545" s="8">
        <f ca="1">IFERROR(__xludf.DUMMYFUNCTION("""COMPUTED_VALUE"""),45296.4643660879)</f>
        <v>45296.464366087901</v>
      </c>
      <c r="B545" s="1" t="str">
        <f ca="1">IFERROR(__xludf.DUMMYFUNCTION("""COMPUTED_VALUE"""),"CEC")</f>
        <v>CEC</v>
      </c>
      <c r="C545" s="1" t="str">
        <f ca="1">IFERROR(__xludf.DUMMYFUNCTION("""COMPUTED_VALUE"""),"em494561151th")</f>
        <v>em494561151th</v>
      </c>
      <c r="D545" s="1" t="str">
        <f ca="1">IFERROR(__xludf.DUMMYFUNCTION("""COMPUTED_VALUE"""),"ณัฐ")</f>
        <v>ณัฐ</v>
      </c>
      <c r="E545" s="1" t="str">
        <f ca="1">IFERROR(__xludf.DUMMYFUNCTION("""COMPUTED_VALUE"""),"089-2206575")</f>
        <v>089-2206575</v>
      </c>
      <c r="F545" s="1" t="str">
        <f ca="1">IFERROR(__xludf.DUMMYFUNCTION("""COMPUTED_VALUE"""),"2 ซอย.พึ่งมี 13 สุขุมวิท 93")</f>
        <v>2 ซอย.พึ่งมี 13 สุขุมวิท 93</v>
      </c>
      <c r="G545" s="1" t="str">
        <f ca="1">IFERROR(__xludf.DUMMYFUNCTION("""COMPUTED_VALUE"""),"ตรวจสอบการนำจ่าย")</f>
        <v>ตรวจสอบการนำจ่าย</v>
      </c>
      <c r="H545" s="1" t="str">
        <f ca="1">IFERROR(__xludf.DUMMYFUNCTION("""COMPUTED_VALUE"""),"-")</f>
        <v>-</v>
      </c>
      <c r="I545" s="1" t="str">
        <f ca="1">IFERROR(__xludf.DUMMYFUNCTION("""COMPUTED_VALUE"""),"-")</f>
        <v>-</v>
      </c>
      <c r="J545" s="1" t="str">
        <f ca="1">IFERROR(__xludf.DUMMYFUNCTION("""COMPUTED_VALUE"""),"DB3")</f>
        <v>DB3</v>
      </c>
      <c r="K545" s="1" t="str">
        <f ca="1">IFERROR(__xludf.DUMMYFUNCTION("""COMPUTED_VALUE"""),"ems10260evd3004")</f>
        <v>ems10260evd3004</v>
      </c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 ht="15.75" customHeight="1" x14ac:dyDescent="0.2">
      <c r="A546" s="8">
        <f ca="1">IFERROR(__xludf.DUMMYFUNCTION("""COMPUTED_VALUE"""),45296.494313368)</f>
        <v>45296.494313367999</v>
      </c>
      <c r="B546" s="1" t="str">
        <f ca="1">IFERROR(__xludf.DUMMYFUNCTION("""COMPUTED_VALUE"""),"CEC")</f>
        <v>CEC</v>
      </c>
      <c r="C546" s="1" t="str">
        <f ca="1">IFERROR(__xludf.DUMMYFUNCTION("""COMPUTED_VALUE"""),"em266636305th")</f>
        <v>em266636305th</v>
      </c>
      <c r="D546" s="1" t="str">
        <f ca="1">IFERROR(__xludf.DUMMYFUNCTION("""COMPUTED_VALUE"""),"พสุ")</f>
        <v>พสุ</v>
      </c>
      <c r="E546" s="1" t="str">
        <f ca="1">IFERROR(__xludf.DUMMYFUNCTION("""COMPUTED_VALUE"""),"095-0122229")</f>
        <v>095-0122229</v>
      </c>
      <c r="F546" s="1" t="str">
        <f ca="1">IFERROR(__xludf.DUMMYFUNCTION("""COMPUTED_VALUE"""),"86-88 ชุมพรแมนชั่น ซ.แบริ่ง 9 ซ.107")</f>
        <v>86-88 ชุมพรแมนชั่น ซ.แบริ่ง 9 ซ.107</v>
      </c>
      <c r="G546" s="1" t="str">
        <f ca="1">IFERROR(__xludf.DUMMYFUNCTION("""COMPUTED_VALUE"""),"ตรวจสอบการนำจ่าย")</f>
        <v>ตรวจสอบการนำจ่าย</v>
      </c>
      <c r="H546" s="1" t="str">
        <f ca="1">IFERROR(__xludf.DUMMYFUNCTION("""COMPUTED_VALUE"""),"-")</f>
        <v>-</v>
      </c>
      <c r="I546" s="1" t="str">
        <f ca="1">IFERROR(__xludf.DUMMYFUNCTION("""COMPUTED_VALUE"""),"-")</f>
        <v>-</v>
      </c>
      <c r="J546" s="1" t="str">
        <f ca="1">IFERROR(__xludf.DUMMYFUNCTION("""COMPUTED_VALUE"""),"DB1")</f>
        <v>DB1</v>
      </c>
      <c r="K546" s="1" t="str">
        <f ca="1">IFERROR(__xludf.DUMMYFUNCTION("""COMPUTED_VALUE"""),"ems10260evd1009")</f>
        <v>ems10260evd1009</v>
      </c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 ht="15.75" customHeight="1" x14ac:dyDescent="0.2">
      <c r="A547" s="8">
        <f ca="1">IFERROR(__xludf.DUMMYFUNCTION("""COMPUTED_VALUE"""),45296.4955550347)</f>
        <v>45296.4955550347</v>
      </c>
      <c r="B547" s="1" t="str">
        <f ca="1">IFERROR(__xludf.DUMMYFUNCTION("""COMPUTED_VALUE"""),"CEC")</f>
        <v>CEC</v>
      </c>
      <c r="C547" s="1" t="str">
        <f ca="1">IFERROR(__xludf.DUMMYFUNCTION("""COMPUTED_VALUE"""),"jf005871525th")</f>
        <v>jf005871525th</v>
      </c>
      <c r="D547" s="1" t="str">
        <f ca="1">IFERROR(__xludf.DUMMYFUNCTION("""COMPUTED_VALUE"""),"โกวิทย์")</f>
        <v>โกวิทย์</v>
      </c>
      <c r="E547" s="1" t="str">
        <f ca="1">IFERROR(__xludf.DUMMYFUNCTION("""COMPUTED_VALUE"""),"086-3208560")</f>
        <v>086-3208560</v>
      </c>
      <c r="F547" s="1" t="str">
        <f ca="1">IFERROR(__xludf.DUMMYFUNCTION("""COMPUTED_VALUE"""),"62 (449/74) ซอย.เทพสง่า สุขุมวิท103")</f>
        <v>62 (449/74) ซอย.เทพสง่า สุขุมวิท103</v>
      </c>
      <c r="G547" s="1" t="str">
        <f ca="1">IFERROR(__xludf.DUMMYFUNCTION("""COMPUTED_VALUE"""),"ตรวจสอบการนำจ่าย")</f>
        <v>ตรวจสอบการนำจ่าย</v>
      </c>
      <c r="H547" s="1" t="str">
        <f ca="1">IFERROR(__xludf.DUMMYFUNCTION("""COMPUTED_VALUE"""),"ขอมารับเอง")</f>
        <v>ขอมารับเอง</v>
      </c>
      <c r="I547" s="1" t="str">
        <f ca="1">IFERROR(__xludf.DUMMYFUNCTION("""COMPUTED_VALUE"""),"-")</f>
        <v>-</v>
      </c>
      <c r="J547" s="1" t="str">
        <f ca="1">IFERROR(__xludf.DUMMYFUNCTION("""COMPUTED_VALUE"""),"DB3")</f>
        <v>DB3</v>
      </c>
      <c r="K547" s="1" t="str">
        <f ca="1">IFERROR(__xludf.DUMMYFUNCTION("""COMPUTED_VALUE"""),"ems10260evd3009")</f>
        <v>ems10260evd3009</v>
      </c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 ht="15.75" customHeight="1" x14ac:dyDescent="0.2">
      <c r="A548" s="8">
        <f ca="1">IFERROR(__xludf.DUMMYFUNCTION("""COMPUTED_VALUE"""),45296.4970552083)</f>
        <v>45296.497055208303</v>
      </c>
      <c r="B548" s="1" t="str">
        <f ca="1">IFERROR(__xludf.DUMMYFUNCTION("""COMPUTED_VALUE"""),"CEC")</f>
        <v>CEC</v>
      </c>
      <c r="C548" s="1" t="str">
        <f ca="1">IFERROR(__xludf.DUMMYFUNCTION("""COMPUTED_VALUE"""),"jn005871525th")</f>
        <v>jn005871525th</v>
      </c>
      <c r="D548" s="1" t="str">
        <f ca="1">IFERROR(__xludf.DUMMYFUNCTION("""COMPUTED_VALUE"""),"โกวิทย์")</f>
        <v>โกวิทย์</v>
      </c>
      <c r="E548" s="1" t="str">
        <f ca="1">IFERROR(__xludf.DUMMYFUNCTION("""COMPUTED_VALUE"""),"086-3208560")</f>
        <v>086-3208560</v>
      </c>
      <c r="F548" s="1" t="str">
        <f ca="1">IFERROR(__xludf.DUMMYFUNCTION("""COMPUTED_VALUE"""),"62 (449/74) ซอย.เทพสง่า สุขุมวิท103")</f>
        <v>62 (449/74) ซอย.เทพสง่า สุขุมวิท103</v>
      </c>
      <c r="G548" s="1" t="str">
        <f ca="1">IFERROR(__xludf.DUMMYFUNCTION("""COMPUTED_VALUE"""),"ตรวจสอบการนำจ่าย")</f>
        <v>ตรวจสอบการนำจ่าย</v>
      </c>
      <c r="H548" s="1" t="str">
        <f ca="1">IFERROR(__xludf.DUMMYFUNCTION("""COMPUTED_VALUE"""),"ขอมารับเอง")</f>
        <v>ขอมารับเอง</v>
      </c>
      <c r="I548" s="1" t="str">
        <f ca="1">IFERROR(__xludf.DUMMYFUNCTION("""COMPUTED_VALUE"""),"-")</f>
        <v>-</v>
      </c>
      <c r="J548" s="1" t="str">
        <f ca="1">IFERROR(__xludf.DUMMYFUNCTION("""COMPUTED_VALUE"""),"DB3")</f>
        <v>DB3</v>
      </c>
      <c r="K548" s="1" t="str">
        <f ca="1">IFERROR(__xludf.DUMMYFUNCTION("""COMPUTED_VALUE"""),"ema10260evd3009")</f>
        <v>ema10260evd3009</v>
      </c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 ht="15.75" customHeight="1" x14ac:dyDescent="0.2">
      <c r="A549" s="8">
        <f ca="1">IFERROR(__xludf.DUMMYFUNCTION("""COMPUTED_VALUE"""),45296.5549504282)</f>
        <v>45296.554950428203</v>
      </c>
      <c r="B549" s="1" t="str">
        <f ca="1">IFERROR(__xludf.DUMMYFUNCTION("""COMPUTED_VALUE"""),"CEC")</f>
        <v>CEC</v>
      </c>
      <c r="C549" s="1" t="str">
        <f ca="1">IFERROR(__xludf.DUMMYFUNCTION("""COMPUTED_VALUE"""),"eb090064639th")</f>
        <v>eb090064639th</v>
      </c>
      <c r="D549" s="1" t="str">
        <f ca="1">IFERROR(__xludf.DUMMYFUNCTION("""COMPUTED_VALUE"""),"ไชยวัฒน์")</f>
        <v>ไชยวัฒน์</v>
      </c>
      <c r="E549" s="1" t="str">
        <f ca="1">IFERROR(__xludf.DUMMYFUNCTION("""COMPUTED_VALUE"""),"066-1616596")</f>
        <v>066-1616596</v>
      </c>
      <c r="F549" s="1" t="str">
        <f ca="1">IFERROR(__xludf.DUMMYFUNCTION("""COMPUTED_VALUE"""),"20/5 คอนโดโอกาส ซ.ลาซาน19 ซ.105")</f>
        <v>20/5 คอนโดโอกาส ซ.ลาซาน19 ซ.105</v>
      </c>
      <c r="G549" s="1" t="str">
        <f ca="1">IFERROR(__xludf.DUMMYFUNCTION("""COMPUTED_VALUE"""),"นำจ่ายใหม่")</f>
        <v>นำจ่ายใหม่</v>
      </c>
      <c r="H549" s="1" t="str">
        <f ca="1">IFERROR(__xludf.DUMMYFUNCTION("""COMPUTED_VALUE"""),"-")</f>
        <v>-</v>
      </c>
      <c r="I549" s="1" t="str">
        <f ca="1">IFERROR(__xludf.DUMMYFUNCTION("""COMPUTED_VALUE"""),"-")</f>
        <v>-</v>
      </c>
      <c r="J549" s="1"/>
      <c r="K549" s="1" t="str">
        <f ca="1">IFERROR(__xludf.DUMMYFUNCTION("""COMPUTED_VALUE"""),"zne10260/evd1004")</f>
        <v>zne10260/evd1004</v>
      </c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 ht="15.75" customHeight="1" x14ac:dyDescent="0.2">
      <c r="A550" s="8">
        <f ca="1">IFERROR(__xludf.DUMMYFUNCTION("""COMPUTED_VALUE"""),45296.5629050347)</f>
        <v>45296.562905034698</v>
      </c>
      <c r="B550" s="1" t="str">
        <f ca="1">IFERROR(__xludf.DUMMYFUNCTION("""COMPUTED_VALUE"""),"CEC")</f>
        <v>CEC</v>
      </c>
      <c r="C550" s="1" t="str">
        <f ca="1">IFERROR(__xludf.DUMMYFUNCTION("""COMPUTED_VALUE"""),"jf164143945th")</f>
        <v>jf164143945th</v>
      </c>
      <c r="D550" s="1" t="str">
        <f ca="1">IFERROR(__xludf.DUMMYFUNCTION("""COMPUTED_VALUE"""),"เขมินทรา")</f>
        <v>เขมินทรา</v>
      </c>
      <c r="E550" s="1" t="str">
        <f ca="1">IFERROR(__xludf.DUMMYFUNCTION("""COMPUTED_VALUE"""),"062-9971447")</f>
        <v>062-9971447</v>
      </c>
      <c r="F550" s="1" t="str">
        <f ca="1">IFERROR(__xludf.DUMMYFUNCTION("""COMPUTED_VALUE"""),"288 อพาร์ทเมนท์กาญจสิตา ซ.กุศลศิลป์")</f>
        <v>288 อพาร์ทเมนท์กาญจสิตา ซ.กุศลศิลป์</v>
      </c>
      <c r="G550" s="1" t="str">
        <f ca="1">IFERROR(__xludf.DUMMYFUNCTION("""COMPUTED_VALUE"""),"ตรวจสอบการนำจ่าย")</f>
        <v>ตรวจสอบการนำจ่าย</v>
      </c>
      <c r="H550" s="1" t="str">
        <f ca="1">IFERROR(__xludf.DUMMYFUNCTION("""COMPUTED_VALUE"""),"-")</f>
        <v>-</v>
      </c>
      <c r="I550" s="1"/>
      <c r="J550" s="1" t="str">
        <f ca="1">IFERROR(__xludf.DUMMYFUNCTION("""COMPUTED_VALUE"""),"DB2")</f>
        <v>DB2</v>
      </c>
      <c r="K550" s="1" t="str">
        <f ca="1">IFERROR(__xludf.DUMMYFUNCTION("""COMPUTED_VALUE"""),"ems10260evd2001")</f>
        <v>ems10260evd2001</v>
      </c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 ht="15.75" customHeight="1" x14ac:dyDescent="0.2">
      <c r="A551" s="8">
        <f ca="1">IFERROR(__xludf.DUMMYFUNCTION("""COMPUTED_VALUE"""),45296.6936647338)</f>
        <v>45296.693664733801</v>
      </c>
      <c r="B551" s="1" t="str">
        <f ca="1">IFERROR(__xludf.DUMMYFUNCTION("""COMPUTED_VALUE"""),"CEC")</f>
        <v>CEC</v>
      </c>
      <c r="C551" s="1" t="str">
        <f ca="1">IFERROR(__xludf.DUMMYFUNCTION("""COMPUTED_VALUE"""),"ed115942065th")</f>
        <v>ed115942065th</v>
      </c>
      <c r="D551" s="1" t="str">
        <f ca="1">IFERROR(__xludf.DUMMYFUNCTION("""COMPUTED_VALUE"""),"-")</f>
        <v>-</v>
      </c>
      <c r="E551" s="1" t="str">
        <f ca="1">IFERROR(__xludf.DUMMYFUNCTION("""COMPUTED_VALUE"""),"02-31120726")</f>
        <v>02-31120726</v>
      </c>
      <c r="F551" s="1" t="str">
        <f ca="1">IFERROR(__xludf.DUMMYFUNCTION("""COMPUTED_VALUE"""),"136 บ.ดิ อินเทรนด์ เด คอร์เรชั่น136 สุขุมวิท89 (47/8 ซ.89/1 เก่า)")</f>
        <v>136 บ.ดิ อินเทรนด์ เด คอร์เรชั่น136 สุขุมวิท89 (47/8 ซ.89/1 เก่า)</v>
      </c>
      <c r="G551" s="1" t="str">
        <f ca="1">IFERROR(__xludf.DUMMYFUNCTION("""COMPUTED_VALUE"""),"นำจ่ายใหม่")</f>
        <v>นำจ่ายใหม่</v>
      </c>
      <c r="H551" s="1" t="str">
        <f ca="1">IFERROR(__xludf.DUMMYFUNCTION("""COMPUTED_VALUE"""),"-")</f>
        <v>-</v>
      </c>
      <c r="I551" s="1" t="str">
        <f ca="1">IFERROR(__xludf.DUMMYFUNCTION("""COMPUTED_VALUE"""),"-")</f>
        <v>-</v>
      </c>
      <c r="J551" s="1" t="str">
        <f ca="1">IFERROR(__xludf.DUMMYFUNCTION("""COMPUTED_VALUE"""),"DB3")</f>
        <v>DB3</v>
      </c>
      <c r="K551" s="1" t="str">
        <f ca="1">IFERROR(__xludf.DUMMYFUNCTION("""COMPUTED_VALUE"""),"ems10260evd3001")</f>
        <v>ems10260evd3001</v>
      </c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 ht="15.75" customHeight="1" x14ac:dyDescent="0.2">
      <c r="A552" s="8">
        <f ca="1">IFERROR(__xludf.DUMMYFUNCTION("""COMPUTED_VALUE"""),45296.69452728)</f>
        <v>45296.69452728</v>
      </c>
      <c r="B552" s="1" t="str">
        <f ca="1">IFERROR(__xludf.DUMMYFUNCTION("""COMPUTED_VALUE"""),"CEC")</f>
        <v>CEC</v>
      </c>
      <c r="C552" s="1" t="str">
        <f ca="1">IFERROR(__xludf.DUMMYFUNCTION("""COMPUTED_VALUE"""),"ed155042396th")</f>
        <v>ed155042396th</v>
      </c>
      <c r="D552" s="1" t="str">
        <f ca="1">IFERROR(__xludf.DUMMYFUNCTION("""COMPUTED_VALUE"""),"-")</f>
        <v>-</v>
      </c>
      <c r="E552" s="1" t="str">
        <f ca="1">IFERROR(__xludf.DUMMYFUNCTION("""COMPUTED_VALUE"""),"080-7512534")</f>
        <v>080-7512534</v>
      </c>
      <c r="F552" s="1" t="str">
        <f ca="1">IFERROR(__xludf.DUMMYFUNCTION("""COMPUTED_VALUE"""),"บ.คอมเซเว่น สรรพาวุธ บางนา")</f>
        <v>บ.คอมเซเว่น สรรพาวุธ บางนา</v>
      </c>
      <c r="G552" s="1" t="str">
        <f ca="1">IFERROR(__xludf.DUMMYFUNCTION("""COMPUTED_VALUE"""),"ตรวจสอบการนำจ่าย")</f>
        <v>ตรวจสอบการนำจ่าย</v>
      </c>
      <c r="H552" s="1" t="str">
        <f ca="1">IFERROR(__xludf.DUMMYFUNCTION("""COMPUTED_VALUE"""),"-")</f>
        <v>-</v>
      </c>
      <c r="I552" s="1" t="str">
        <f ca="1">IFERROR(__xludf.DUMMYFUNCTION("""COMPUTED_VALUE"""),"-")</f>
        <v>-</v>
      </c>
      <c r="J552" s="1" t="str">
        <f ca="1">IFERROR(__xludf.DUMMYFUNCTION("""COMPUTED_VALUE"""),"นำจ่ายรถยนต์")</f>
        <v>นำจ่ายรถยนต์</v>
      </c>
      <c r="K552" s="1" t="str">
        <f ca="1">IFERROR(__xludf.DUMMYFUNCTION("""COMPUTED_VALUE"""),"car10260evd5004")</f>
        <v>car10260evd5004</v>
      </c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 ht="15.75" customHeight="1" x14ac:dyDescent="0.2">
      <c r="A553" s="8">
        <f ca="1">IFERROR(__xludf.DUMMYFUNCTION("""COMPUTED_VALUE"""),45296.6958011226)</f>
        <v>45296.695801122602</v>
      </c>
      <c r="B553" s="1" t="str">
        <f ca="1">IFERROR(__xludf.DUMMYFUNCTION("""COMPUTED_VALUE"""),"CEC")</f>
        <v>CEC</v>
      </c>
      <c r="C553" s="1" t="str">
        <f ca="1">IFERROR(__xludf.DUMMYFUNCTION("""COMPUTED_VALUE"""),"em382340032th")</f>
        <v>em382340032th</v>
      </c>
      <c r="D553" s="1" t="str">
        <f ca="1">IFERROR(__xludf.DUMMYFUNCTION("""COMPUTED_VALUE"""),"มิลตรา")</f>
        <v>มิลตรา</v>
      </c>
      <c r="E553" s="1" t="str">
        <f ca="1">IFERROR(__xludf.DUMMYFUNCTION("""COMPUTED_VALUE"""),"063-6566032")</f>
        <v>063-6566032</v>
      </c>
      <c r="F553" s="1" t="str">
        <f ca="1">IFERROR(__xludf.DUMMYFUNCTION("""COMPUTED_VALUE"""),"47/3 ซ.วชิรธรรมสาธิต 14 ซ.101/1")</f>
        <v>47/3 ซ.วชิรธรรมสาธิต 14 ซ.101/1</v>
      </c>
      <c r="G553" s="1" t="str">
        <f ca="1">IFERROR(__xludf.DUMMYFUNCTION("""COMPUTED_VALUE"""),"นำจ่ายใหม่")</f>
        <v>นำจ่ายใหม่</v>
      </c>
      <c r="H553" s="1" t="str">
        <f ca="1">IFERROR(__xludf.DUMMYFUNCTION("""COMPUTED_VALUE"""),"-")</f>
        <v>-</v>
      </c>
      <c r="I553" s="1" t="str">
        <f ca="1">IFERROR(__xludf.DUMMYFUNCTION("""COMPUTED_VALUE"""),"-")</f>
        <v>-</v>
      </c>
      <c r="J553" s="1" t="str">
        <f ca="1">IFERROR(__xludf.DUMMYFUNCTION("""COMPUTED_VALUE"""),"DB2")</f>
        <v>DB2</v>
      </c>
      <c r="K553" s="1" t="str">
        <f ca="1">IFERROR(__xludf.DUMMYFUNCTION("""COMPUTED_VALUE"""),"ems10260evd2055")</f>
        <v>ems10260evd2055</v>
      </c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 ht="15.75" customHeight="1" x14ac:dyDescent="0.2">
      <c r="A554" s="8">
        <f ca="1">IFERROR(__xludf.DUMMYFUNCTION("""COMPUTED_VALUE"""),45299.5165577662)</f>
        <v>45299.516557766197</v>
      </c>
      <c r="B554" s="1" t="str">
        <f ca="1">IFERROR(__xludf.DUMMYFUNCTION("""COMPUTED_VALUE"""),"CEC")</f>
        <v>CEC</v>
      </c>
      <c r="C554" s="1" t="str">
        <f ca="1">IFERROR(__xludf.DUMMYFUNCTION("""COMPUTED_VALUE"""),"jf163486811th")</f>
        <v>jf163486811th</v>
      </c>
      <c r="D554" s="1" t="str">
        <f ca="1">IFERROR(__xludf.DUMMYFUNCTION("""COMPUTED_VALUE"""),"เนตรทราย")</f>
        <v>เนตรทราย</v>
      </c>
      <c r="E554" s="1" t="str">
        <f ca="1">IFERROR(__xludf.DUMMYFUNCTION("""COMPUTED_VALUE"""),"086-9796929")</f>
        <v>086-9796929</v>
      </c>
      <c r="F554" s="1" t="str">
        <f ca="1">IFERROR(__xludf.DUMMYFUNCTION("""COMPUTED_VALUE"""),"สนามกีฬาภูติอนันท์ 2 สุขุมวิท")</f>
        <v>สนามกีฬาภูติอนันท์ 2 สุขุมวิท</v>
      </c>
      <c r="G554" s="1" t="str">
        <f ca="1">IFERROR(__xludf.DUMMYFUNCTION("""COMPUTED_VALUE"""),"นำจ่ายใหม่")</f>
        <v>นำจ่ายใหม่</v>
      </c>
      <c r="H554" s="1" t="str">
        <f ca="1">IFERROR(__xludf.DUMMYFUNCTION("""COMPUTED_VALUE"""),"-")</f>
        <v>-</v>
      </c>
      <c r="I554" s="1" t="str">
        <f ca="1">IFERROR(__xludf.DUMMYFUNCTION("""COMPUTED_VALUE"""),"-")</f>
        <v>-</v>
      </c>
      <c r="J554" s="1" t="str">
        <f ca="1">IFERROR(__xludf.DUMMYFUNCTION("""COMPUTED_VALUE"""),"DB1")</f>
        <v>DB1</v>
      </c>
      <c r="K554" s="1" t="str">
        <f ca="1">IFERROR(__xludf.DUMMYFUNCTION("""COMPUTED_VALUE"""),"ems10260evd1001")</f>
        <v>ems10260evd1001</v>
      </c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 ht="15.75" customHeight="1" x14ac:dyDescent="0.2">
      <c r="A555" s="8">
        <f ca="1">IFERROR(__xludf.DUMMYFUNCTION("""COMPUTED_VALUE"""),45299.5207518402)</f>
        <v>45299.520751840202</v>
      </c>
      <c r="B555" s="1" t="str">
        <f ca="1">IFERROR(__xludf.DUMMYFUNCTION("""COMPUTED_VALUE"""),"CEC")</f>
        <v>CEC</v>
      </c>
      <c r="C555" s="1" t="str">
        <f ca="1">IFERROR(__xludf.DUMMYFUNCTION("""COMPUTED_VALUE"""),"ri927346756th")</f>
        <v>ri927346756th</v>
      </c>
      <c r="D555" s="1" t="str">
        <f ca="1">IFERROR(__xludf.DUMMYFUNCTION("""COMPUTED_VALUE"""),"ปวีภรณ์ ")</f>
        <v xml:space="preserve">ปวีภรณ์ </v>
      </c>
      <c r="E555" s="1" t="str">
        <f ca="1">IFERROR(__xludf.DUMMYFUNCTION("""COMPUTED_VALUE"""),"092-9893351")</f>
        <v>092-9893351</v>
      </c>
      <c r="F555" s="1" t="str">
        <f ca="1">IFERROR(__xludf.DUMMYFUNCTION("""COMPUTED_VALUE"""),"70/25 ซ.จ่าโสด แยก 2 สรรพาวุธ")</f>
        <v>70/25 ซ.จ่าโสด แยก 2 สรรพาวุธ</v>
      </c>
      <c r="G555" s="1" t="str">
        <f ca="1">IFERROR(__xludf.DUMMYFUNCTION("""COMPUTED_VALUE"""),"นำจ่ายใหม่")</f>
        <v>นำจ่ายใหม่</v>
      </c>
      <c r="H555" s="1" t="str">
        <f ca="1">IFERROR(__xludf.DUMMYFUNCTION("""COMPUTED_VALUE"""),"-")</f>
        <v>-</v>
      </c>
      <c r="I555" s="1" t="str">
        <f ca="1">IFERROR(__xludf.DUMMYFUNCTION("""COMPUTED_VALUE"""),"-")</f>
        <v>-</v>
      </c>
      <c r="J555" s="1" t="str">
        <f ca="1">IFERROR(__xludf.DUMMYFUNCTION("""COMPUTED_VALUE"""),"DB1")</f>
        <v>DB1</v>
      </c>
      <c r="K555" s="1" t="str">
        <f ca="1">IFERROR(__xludf.DUMMYFUNCTION("""COMPUTED_VALUE"""),"ems10260evd1001")</f>
        <v>ems10260evd1001</v>
      </c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 ht="15.75" customHeight="1" x14ac:dyDescent="0.2">
      <c r="A556" s="8">
        <f ca="1">IFERROR(__xludf.DUMMYFUNCTION("""COMPUTED_VALUE"""),45299.5251815972)</f>
        <v>45299.525181597201</v>
      </c>
      <c r="B556" s="1" t="str">
        <f ca="1">IFERROR(__xludf.DUMMYFUNCTION("""COMPUTED_VALUE"""),"On Queue")</f>
        <v>On Queue</v>
      </c>
      <c r="C556" s="1" t="str">
        <f ca="1">IFERROR(__xludf.DUMMYFUNCTION("""COMPUTED_VALUE"""),"ed241201395th")</f>
        <v>ed241201395th</v>
      </c>
      <c r="D556" s="1" t="str">
        <f ca="1">IFERROR(__xludf.DUMMYFUNCTION("""COMPUTED_VALUE"""),"ธีรพล")</f>
        <v>ธีรพล</v>
      </c>
      <c r="E556" s="1" t="str">
        <f ca="1">IFERROR(__xludf.DUMMYFUNCTION("""COMPUTED_VALUE"""),"092-5727625")</f>
        <v>092-5727625</v>
      </c>
      <c r="F556" s="1" t="str">
        <f ca="1">IFERROR(__xludf.DUMMYFUNCTION("""COMPUTED_VALUE"""),"59 พี เจ แมนชั่น ลาซาน 6ซ.105")</f>
        <v>59 พี เจ แมนชั่น ลาซาน 6ซ.105</v>
      </c>
      <c r="G556" s="1" t="str">
        <f ca="1">IFERROR(__xludf.DUMMYFUNCTION("""COMPUTED_VALUE"""),"ตรวจสอบการนำจ่าย")</f>
        <v>ตรวจสอบการนำจ่าย</v>
      </c>
      <c r="H556" s="1" t="str">
        <f ca="1">IFERROR(__xludf.DUMMYFUNCTION("""COMPUTED_VALUE"""),"-")</f>
        <v>-</v>
      </c>
      <c r="I556" s="1" t="str">
        <f ca="1">IFERROR(__xludf.DUMMYFUNCTION("""COMPUTED_VALUE"""),"-")</f>
        <v>-</v>
      </c>
      <c r="J556" s="1" t="str">
        <f ca="1">IFERROR(__xludf.DUMMYFUNCTION("""COMPUTED_VALUE"""),"DB2")</f>
        <v>DB2</v>
      </c>
      <c r="K556" s="1" t="str">
        <f ca="1">IFERROR(__xludf.DUMMYFUNCTION("""COMPUTED_VALUE"""),"ems10260evd2000")</f>
        <v>ems10260evd2000</v>
      </c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 ht="15.75" customHeight="1" x14ac:dyDescent="0.2">
      <c r="A557" s="8">
        <f ca="1">IFERROR(__xludf.DUMMYFUNCTION("""COMPUTED_VALUE"""),45299.5263171643)</f>
        <v>45299.526317164302</v>
      </c>
      <c r="B557" s="1" t="str">
        <f ca="1">IFERROR(__xludf.DUMMYFUNCTION("""COMPUTED_VALUE"""),"CEC")</f>
        <v>CEC</v>
      </c>
      <c r="C557" s="1" t="str">
        <f ca="1">IFERROR(__xludf.DUMMYFUNCTION("""COMPUTED_VALUE"""),"ed137671642th")</f>
        <v>ed137671642th</v>
      </c>
      <c r="D557" s="1" t="str">
        <f ca="1">IFERROR(__xludf.DUMMYFUNCTION("""COMPUTED_VALUE"""),"ทราย")</f>
        <v>ทราย</v>
      </c>
      <c r="E557" s="1" t="str">
        <f ca="1">IFERROR(__xludf.DUMMYFUNCTION("""COMPUTED_VALUE"""),"085-8424573")</f>
        <v>085-8424573</v>
      </c>
      <c r="F557" s="1" t="str">
        <f ca="1">IFERROR(__xludf.DUMMYFUNCTION("""COMPUTED_VALUE"""),"876 บ.สินธนโชติ บางนาใต้ ลาซาน")</f>
        <v>876 บ.สินธนโชติ บางนาใต้ ลาซาน</v>
      </c>
      <c r="G557" s="1" t="str">
        <f ca="1">IFERROR(__xludf.DUMMYFUNCTION("""COMPUTED_VALUE"""),"นำจ่ายใหม่")</f>
        <v>นำจ่ายใหม่</v>
      </c>
      <c r="H557" s="1" t="str">
        <f ca="1">IFERROR(__xludf.DUMMYFUNCTION("""COMPUTED_VALUE"""),"-")</f>
        <v>-</v>
      </c>
      <c r="I557" s="1" t="str">
        <f ca="1">IFERROR(__xludf.DUMMYFUNCTION("""COMPUTED_VALUE"""),"-")</f>
        <v>-</v>
      </c>
      <c r="J557" s="1" t="str">
        <f ca="1">IFERROR(__xludf.DUMMYFUNCTION("""COMPUTED_VALUE"""),"DB1")</f>
        <v>DB1</v>
      </c>
      <c r="K557" s="1" t="str">
        <f ca="1">IFERROR(__xludf.DUMMYFUNCTION("""COMPUTED_VALUE"""),"ems10260evd1012")</f>
        <v>ems10260evd1012</v>
      </c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 ht="15.75" customHeight="1" x14ac:dyDescent="0.2">
      <c r="A558" s="8">
        <f ca="1">IFERROR(__xludf.DUMMYFUNCTION("""COMPUTED_VALUE"""),45299.5274731481)</f>
        <v>45299.527473148097</v>
      </c>
      <c r="B558" s="1" t="str">
        <f ca="1">IFERROR(__xludf.DUMMYFUNCTION("""COMPUTED_VALUE"""),"CEC")</f>
        <v>CEC</v>
      </c>
      <c r="C558" s="1" t="str">
        <f ca="1">IFERROR(__xludf.DUMMYFUNCTION("""COMPUTED_VALUE"""),"ea822247555th")</f>
        <v>ea822247555th</v>
      </c>
      <c r="D558" s="1" t="str">
        <f ca="1">IFERROR(__xludf.DUMMYFUNCTION("""COMPUTED_VALUE"""),"อักษร")</f>
        <v>อักษร</v>
      </c>
      <c r="E558" s="1" t="str">
        <f ca="1">IFERROR(__xludf.DUMMYFUNCTION("""COMPUTED_VALUE"""),"092-5094592")</f>
        <v>092-5094592</v>
      </c>
      <c r="F558" s="1" t="str">
        <f ca="1">IFERROR(__xludf.DUMMYFUNCTION("""COMPUTED_VALUE"""),"1 อาคาร เอ็ม ดี ทาวเวอร์ ชั่น18 บางนา ตราด25")</f>
        <v>1 อาคาร เอ็ม ดี ทาวเวอร์ ชั่น18 บางนา ตราด25</v>
      </c>
      <c r="G558" s="1" t="str">
        <f ca="1">IFERROR(__xludf.DUMMYFUNCTION("""COMPUTED_VALUE"""),"นำจ่ายใหม่")</f>
        <v>นำจ่ายใหม่</v>
      </c>
      <c r="H558" s="1" t="str">
        <f ca="1">IFERROR(__xludf.DUMMYFUNCTION("""COMPUTED_VALUE"""),"COd.825-60 บาท")</f>
        <v>COd.825-60 บาท</v>
      </c>
      <c r="I558" s="1" t="str">
        <f ca="1">IFERROR(__xludf.DUMMYFUNCTION("""COMPUTED_VALUE"""),"-")</f>
        <v>-</v>
      </c>
      <c r="J558" s="1" t="str">
        <f ca="1">IFERROR(__xludf.DUMMYFUNCTION("""COMPUTED_VALUE"""),"DB2")</f>
        <v>DB2</v>
      </c>
      <c r="K558" s="1" t="str">
        <f ca="1">IFERROR(__xludf.DUMMYFUNCTION("""COMPUTED_VALUE"""),"ems10260evd2010")</f>
        <v>ems10260evd2010</v>
      </c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 ht="15.75" customHeight="1" x14ac:dyDescent="0.2">
      <c r="A559" s="8">
        <f ca="1">IFERROR(__xludf.DUMMYFUNCTION("""COMPUTED_VALUE"""),45299.5285320023)</f>
        <v>45299.528532002303</v>
      </c>
      <c r="B559" s="1" t="str">
        <f ca="1">IFERROR(__xludf.DUMMYFUNCTION("""COMPUTED_VALUE"""),"CEC")</f>
        <v>CEC</v>
      </c>
      <c r="C559" s="1" t="str">
        <f ca="1">IFERROR(__xludf.DUMMYFUNCTION("""COMPUTED_VALUE"""),"ed133372395th")</f>
        <v>ed133372395th</v>
      </c>
      <c r="D559" s="1" t="str">
        <f ca="1">IFERROR(__xludf.DUMMYFUNCTION("""COMPUTED_VALUE"""),"วรรณี")</f>
        <v>วรรณี</v>
      </c>
      <c r="E559" s="1" t="str">
        <f ca="1">IFERROR(__xludf.DUMMYFUNCTION("""COMPUTED_VALUE"""),"090-9600340")</f>
        <v>090-9600340</v>
      </c>
      <c r="F559" s="1" t="str">
        <f ca="1">IFERROR(__xludf.DUMMYFUNCTION("""COMPUTED_VALUE"""),"958 ถ.เทพรัตน์ บางนาใต้")</f>
        <v>958 ถ.เทพรัตน์ บางนาใต้</v>
      </c>
      <c r="G559" s="1" t="str">
        <f ca="1">IFERROR(__xludf.DUMMYFUNCTION("""COMPUTED_VALUE"""),"นำจ่ายใหม่")</f>
        <v>นำจ่ายใหม่</v>
      </c>
      <c r="H559" s="1" t="str">
        <f ca="1">IFERROR(__xludf.DUMMYFUNCTION("""COMPUTED_VALUE"""),"-")</f>
        <v>-</v>
      </c>
      <c r="I559" s="1" t="str">
        <f ca="1">IFERROR(__xludf.DUMMYFUNCTION("""COMPUTED_VALUE"""),"-")</f>
        <v>-</v>
      </c>
      <c r="J559" s="1" t="str">
        <f ca="1">IFERROR(__xludf.DUMMYFUNCTION("""COMPUTED_VALUE"""),"DB1")</f>
        <v>DB1</v>
      </c>
      <c r="K559" s="1" t="str">
        <f ca="1">IFERROR(__xludf.DUMMYFUNCTION("""COMPUTED_VALUE"""),"ems10260evd1034")</f>
        <v>ems10260evd1034</v>
      </c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 ht="15.75" customHeight="1" x14ac:dyDescent="0.2">
      <c r="A560" s="8">
        <f ca="1">IFERROR(__xludf.DUMMYFUNCTION("""COMPUTED_VALUE"""),45299.5295963541)</f>
        <v>45299.529596354099</v>
      </c>
      <c r="B560" s="1" t="str">
        <f ca="1">IFERROR(__xludf.DUMMYFUNCTION("""COMPUTED_VALUE"""),"CEC")</f>
        <v>CEC</v>
      </c>
      <c r="C560" s="1" t="str">
        <f ca="1">IFERROR(__xludf.DUMMYFUNCTION("""COMPUTED_VALUE"""),"ed221005176th")</f>
        <v>ed221005176th</v>
      </c>
      <c r="D560" s="1" t="str">
        <f ca="1">IFERROR(__xludf.DUMMYFUNCTION("""COMPUTED_VALUE"""),"พรเทพ")</f>
        <v>พรเทพ</v>
      </c>
      <c r="E560" s="1" t="str">
        <f ca="1">IFERROR(__xludf.DUMMYFUNCTION("""COMPUTED_VALUE"""),"085-1460466")</f>
        <v>085-1460466</v>
      </c>
      <c r="F560" s="1" t="str">
        <f ca="1">IFERROR(__xludf.DUMMYFUNCTION("""COMPUTED_VALUE"""),"1258 บ้านไพโรจน์ บางนา ตราด27")</f>
        <v>1258 บ้านไพโรจน์ บางนา ตราด27</v>
      </c>
      <c r="G560" s="1" t="str">
        <f ca="1">IFERROR(__xludf.DUMMYFUNCTION("""COMPUTED_VALUE"""),"นำจ่ายใหม่")</f>
        <v>นำจ่ายใหม่</v>
      </c>
      <c r="H560" s="1" t="str">
        <f ca="1">IFERROR(__xludf.DUMMYFUNCTION("""COMPUTED_VALUE"""),"-")</f>
        <v>-</v>
      </c>
      <c r="I560" s="1" t="str">
        <f ca="1">IFERROR(__xludf.DUMMYFUNCTION("""COMPUTED_VALUE"""),"-")</f>
        <v>-</v>
      </c>
      <c r="J560" s="1" t="str">
        <f ca="1">IFERROR(__xludf.DUMMYFUNCTION("""COMPUTED_VALUE"""),"DB2")</f>
        <v>DB2</v>
      </c>
      <c r="K560" s="1" t="str">
        <f ca="1">IFERROR(__xludf.DUMMYFUNCTION("""COMPUTED_VALUE"""),"ems10260evd2013")</f>
        <v>ems10260evd2013</v>
      </c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 ht="15.75" customHeight="1" x14ac:dyDescent="0.2">
      <c r="A561" s="8">
        <f ca="1">IFERROR(__xludf.DUMMYFUNCTION("""COMPUTED_VALUE"""),45299.5306403819)</f>
        <v>45299.530640381898</v>
      </c>
      <c r="B561" s="1" t="str">
        <f ca="1">IFERROR(__xludf.DUMMYFUNCTION("""COMPUTED_VALUE"""),"CEC")</f>
        <v>CEC</v>
      </c>
      <c r="C561" s="1" t="str">
        <f ca="1">IFERROR(__xludf.DUMMYFUNCTION("""COMPUTED_VALUE"""),"em457756169th")</f>
        <v>em457756169th</v>
      </c>
      <c r="D561" s="1" t="str">
        <f ca="1">IFERROR(__xludf.DUMMYFUNCTION("""COMPUTED_VALUE"""),"ตติวุฒิ")</f>
        <v>ตติวุฒิ</v>
      </c>
      <c r="E561" s="1" t="str">
        <f ca="1">IFERROR(__xludf.DUMMYFUNCTION("""COMPUTED_VALUE"""),"081-9074472")</f>
        <v>081-9074472</v>
      </c>
      <c r="F561" s="1" t="str">
        <f ca="1">IFERROR(__xludf.DUMMYFUNCTION("""COMPUTED_VALUE"""),"58 บ้าน บางนา ตราด 14")</f>
        <v>58 บ้าน บางนา ตราด 14</v>
      </c>
      <c r="G561" s="1" t="str">
        <f ca="1">IFERROR(__xludf.DUMMYFUNCTION("""COMPUTED_VALUE"""),"นำจ่ายใหม่")</f>
        <v>นำจ่ายใหม่</v>
      </c>
      <c r="H561" s="1" t="str">
        <f ca="1">IFERROR(__xludf.DUMMYFUNCTION("""COMPUTED_VALUE"""),"-")</f>
        <v>-</v>
      </c>
      <c r="I561" s="1" t="str">
        <f ca="1">IFERROR(__xludf.DUMMYFUNCTION("""COMPUTED_VALUE"""),"-")</f>
        <v>-</v>
      </c>
      <c r="J561" s="1" t="str">
        <f ca="1">IFERROR(__xludf.DUMMYFUNCTION("""COMPUTED_VALUE"""),"DB1")</f>
        <v>DB1</v>
      </c>
      <c r="K561" s="1" t="str">
        <f ca="1">IFERROR(__xludf.DUMMYFUNCTION("""COMPUTED_VALUE"""),"ems10260evd1036")</f>
        <v>ems10260evd1036</v>
      </c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 ht="15.75" customHeight="1" x14ac:dyDescent="0.2">
      <c r="A562" s="8">
        <f ca="1">IFERROR(__xludf.DUMMYFUNCTION("""COMPUTED_VALUE"""),45299.6452537268)</f>
        <v>45299.645253726798</v>
      </c>
      <c r="B562" s="1" t="str">
        <f ca="1">IFERROR(__xludf.DUMMYFUNCTION("""COMPUTED_VALUE"""),"CEC")</f>
        <v>CEC</v>
      </c>
      <c r="C562" s="1" t="str">
        <f ca="1">IFERROR(__xludf.DUMMYFUNCTION("""COMPUTED_VALUE"""),"ri927376744th")</f>
        <v>ri927376744th</v>
      </c>
      <c r="D562" s="1" t="str">
        <f ca="1">IFERROR(__xludf.DUMMYFUNCTION("""COMPUTED_VALUE"""),"วีรชา")</f>
        <v>วีรชา</v>
      </c>
      <c r="E562" s="1" t="str">
        <f ca="1">IFERROR(__xludf.DUMMYFUNCTION("""COMPUTED_VALUE"""),"063-3707227")</f>
        <v>063-3707227</v>
      </c>
      <c r="F562" s="1" t="str">
        <f ca="1">IFERROR(__xludf.DUMMYFUNCTION("""COMPUTED_VALUE"""),"57 ซอย.ลาซาน 22 สุขุมวิท 105")</f>
        <v>57 ซอย.ลาซาน 22 สุขุมวิท 105</v>
      </c>
      <c r="G562" s="1" t="str">
        <f ca="1">IFERROR(__xludf.DUMMYFUNCTION("""COMPUTED_VALUE"""),"นำจ่ายใหม่")</f>
        <v>นำจ่ายใหม่</v>
      </c>
      <c r="H562" s="1" t="str">
        <f ca="1">IFERROR(__xludf.DUMMYFUNCTION("""COMPUTED_VALUE"""),"-")</f>
        <v>-</v>
      </c>
      <c r="I562" s="1" t="str">
        <f ca="1">IFERROR(__xludf.DUMMYFUNCTION("""COMPUTED_VALUE"""),"-")</f>
        <v>-</v>
      </c>
      <c r="J562" s="1" t="str">
        <f ca="1">IFERROR(__xludf.DUMMYFUNCTION("""COMPUTED_VALUE"""),"DB1")</f>
        <v>DB1</v>
      </c>
      <c r="K562" s="1" t="str">
        <f ca="1">IFERROR(__xludf.DUMMYFUNCTION("""COMPUTED_VALUE"""),"ems10260evd1018")</f>
        <v>ems10260evd1018</v>
      </c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 ht="15.75" customHeight="1" x14ac:dyDescent="0.2">
      <c r="A563" s="8">
        <f ca="1">IFERROR(__xludf.DUMMYFUNCTION("""COMPUTED_VALUE"""),45299.646356655)</f>
        <v>45299.646356655001</v>
      </c>
      <c r="B563" s="1" t="str">
        <f ca="1">IFERROR(__xludf.DUMMYFUNCTION("""COMPUTED_VALUE"""),"CEC")</f>
        <v>CEC</v>
      </c>
      <c r="C563" s="1" t="str">
        <f ca="1">IFERROR(__xludf.DUMMYFUNCTION("""COMPUTED_VALUE"""),"ej756709228th")</f>
        <v>ej756709228th</v>
      </c>
      <c r="D563" s="1" t="str">
        <f ca="1">IFERROR(__xludf.DUMMYFUNCTION("""COMPUTED_VALUE"""),"วสันต์")</f>
        <v>วสันต์</v>
      </c>
      <c r="E563" s="1" t="str">
        <f ca="1">IFERROR(__xludf.DUMMYFUNCTION("""COMPUTED_VALUE"""),"089-9261550")</f>
        <v>089-9261550</v>
      </c>
      <c r="F563" s="1" t="str">
        <f ca="1">IFERROR(__xludf.DUMMYFUNCTION("""COMPUTED_VALUE"""),"415/13 ซ.วชิรธรรม 29 สุขุมวิท 101/1")</f>
        <v>415/13 ซ.วชิรธรรม 29 สุขุมวิท 101/1</v>
      </c>
      <c r="G563" s="1" t="str">
        <f ca="1">IFERROR(__xludf.DUMMYFUNCTION("""COMPUTED_VALUE"""),"ตรวจสอบการนำจ่าย")</f>
        <v>ตรวจสอบการนำจ่าย</v>
      </c>
      <c r="H563" s="1" t="str">
        <f ca="1">IFERROR(__xludf.DUMMYFUNCTION("""COMPUTED_VALUE"""),"-")</f>
        <v>-</v>
      </c>
      <c r="I563" s="1" t="str">
        <f ca="1">IFERROR(__xludf.DUMMYFUNCTION("""COMPUTED_VALUE"""),"-")</f>
        <v>-</v>
      </c>
      <c r="J563" s="1" t="str">
        <f ca="1">IFERROR(__xludf.DUMMYFUNCTION("""COMPUTED_VALUE"""),"DB3")</f>
        <v>DB3</v>
      </c>
      <c r="K563" s="1" t="str">
        <f ca="1">IFERROR(__xludf.DUMMYFUNCTION("""COMPUTED_VALUE"""),"ems10260evd3024")</f>
        <v>ems10260evd3024</v>
      </c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 ht="15.75" customHeight="1" x14ac:dyDescent="0.2">
      <c r="A564" s="8">
        <f ca="1">IFERROR(__xludf.DUMMYFUNCTION("""COMPUTED_VALUE"""),45299.6522139699)</f>
        <v>45299.652213969901</v>
      </c>
      <c r="B564" s="1" t="str">
        <f ca="1">IFERROR(__xludf.DUMMYFUNCTION("""COMPUTED_VALUE"""),"CEC")</f>
        <v>CEC</v>
      </c>
      <c r="C564" s="1" t="str">
        <f ca="1">IFERROR(__xludf.DUMMYFUNCTION("""COMPUTED_VALUE"""),"ed155397099th")</f>
        <v>ed155397099th</v>
      </c>
      <c r="D564" s="1" t="str">
        <f ca="1">IFERROR(__xludf.DUMMYFUNCTION("""COMPUTED_VALUE"""),"โสภณ")</f>
        <v>โสภณ</v>
      </c>
      <c r="E564" s="1" t="str">
        <f ca="1">IFERROR(__xludf.DUMMYFUNCTION("""COMPUTED_VALUE"""),"065-3594554")</f>
        <v>065-3594554</v>
      </c>
      <c r="F564" s="1" t="str">
        <f ca="1">IFERROR(__xludf.DUMMYFUNCTION("""COMPUTED_VALUE"""),"237 บ.ยูเทคไทยซ..ลาซาน ซ.105")</f>
        <v>237 บ.ยูเทคไทยซ..ลาซาน ซ.105</v>
      </c>
      <c r="G564" s="1" t="str">
        <f ca="1">IFERROR(__xludf.DUMMYFUNCTION("""COMPUTED_VALUE"""),"ตรวจสอบการนำจ่าย")</f>
        <v>ตรวจสอบการนำจ่าย</v>
      </c>
      <c r="H564" s="1" t="str">
        <f ca="1">IFERROR(__xludf.DUMMYFUNCTION("""COMPUTED_VALUE"""),"-")</f>
        <v>-</v>
      </c>
      <c r="I564" s="1" t="str">
        <f ca="1">IFERROR(__xludf.DUMMYFUNCTION("""COMPUTED_VALUE"""),"-")</f>
        <v>-</v>
      </c>
      <c r="J564" s="1" t="str">
        <f ca="1">IFERROR(__xludf.DUMMYFUNCTION("""COMPUTED_VALUE"""),"DB1")</f>
        <v>DB1</v>
      </c>
      <c r="K564" s="1" t="str">
        <f ca="1">IFERROR(__xludf.DUMMYFUNCTION("""COMPUTED_VALUE"""),"ems10260evd1021")</f>
        <v>ems10260evd1021</v>
      </c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 ht="15.75" customHeight="1" x14ac:dyDescent="0.2">
      <c r="A565" s="8">
        <f ca="1">IFERROR(__xludf.DUMMYFUNCTION("""COMPUTED_VALUE"""),45299.6537398032)</f>
        <v>45299.653739803201</v>
      </c>
      <c r="B565" s="1" t="str">
        <f ca="1">IFERROR(__xludf.DUMMYFUNCTION("""COMPUTED_VALUE"""),"CEC")</f>
        <v>CEC</v>
      </c>
      <c r="C565" s="1" t="str">
        <f ca="1">IFERROR(__xludf.DUMMYFUNCTION("""COMPUTED_VALUE"""),"ed156507860th")</f>
        <v>ed156507860th</v>
      </c>
      <c r="D565" s="1" t="str">
        <f ca="1">IFERROR(__xludf.DUMMYFUNCTION("""COMPUTED_VALUE"""),"-")</f>
        <v>-</v>
      </c>
      <c r="E565" s="1" t="str">
        <f ca="1">IFERROR(__xludf.DUMMYFUNCTION("""COMPUTED_VALUE"""),"098-4939788")</f>
        <v>098-4939788</v>
      </c>
      <c r="F565" s="1" t="str">
        <f ca="1">IFERROR(__xludf.DUMMYFUNCTION("""COMPUTED_VALUE"""),"423 บ.เจ เอส เค ที บางนา ตราด")</f>
        <v>423 บ.เจ เอส เค ที บางนา ตราด</v>
      </c>
      <c r="G565" s="1" t="str">
        <f ca="1">IFERROR(__xludf.DUMMYFUNCTION("""COMPUTED_VALUE"""),"ตรวจสอบการนำจ่าย")</f>
        <v>ตรวจสอบการนำจ่าย</v>
      </c>
      <c r="H565" s="1" t="str">
        <f ca="1">IFERROR(__xludf.DUMMYFUNCTION("""COMPUTED_VALUE"""),"-")</f>
        <v>-</v>
      </c>
      <c r="I565" s="1" t="str">
        <f ca="1">IFERROR(__xludf.DUMMYFUNCTION("""COMPUTED_VALUE"""),"-")</f>
        <v>-</v>
      </c>
      <c r="J565" s="1" t="str">
        <f ca="1">IFERROR(__xludf.DUMMYFUNCTION("""COMPUTED_VALUE"""),"DB2")</f>
        <v>DB2</v>
      </c>
      <c r="K565" s="1" t="str">
        <f ca="1">IFERROR(__xludf.DUMMYFUNCTION("""COMPUTED_VALUE"""),"ems10260evd2007")</f>
        <v>ems10260evd2007</v>
      </c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 ht="15.75" customHeight="1" x14ac:dyDescent="0.2">
      <c r="A566" s="8">
        <f ca="1">IFERROR(__xludf.DUMMYFUNCTION("""COMPUTED_VALUE"""),45299.6558844444)</f>
        <v>45299.655884444401</v>
      </c>
      <c r="B566" s="1" t="str">
        <f ca="1">IFERROR(__xludf.DUMMYFUNCTION("""COMPUTED_VALUE"""),"CEC")</f>
        <v>CEC</v>
      </c>
      <c r="C566" s="1" t="str">
        <f ca="1">IFERROR(__xludf.DUMMYFUNCTION("""COMPUTED_VALUE"""),"ed236271853th")</f>
        <v>ed236271853th</v>
      </c>
      <c r="D566" s="1" t="str">
        <f ca="1">IFERROR(__xludf.DUMMYFUNCTION("""COMPUTED_VALUE"""),"นิ้ง")</f>
        <v>นิ้ง</v>
      </c>
      <c r="E566" s="1" t="str">
        <f ca="1">IFERROR(__xludf.DUMMYFUNCTION("""COMPUTED_VALUE"""),"098-8237805")</f>
        <v>098-8237805</v>
      </c>
      <c r="F566" s="1" t="str">
        <f ca="1">IFERROR(__xludf.DUMMYFUNCTION("""COMPUTED_VALUE"""),"26/1 มายด์เฮ้าส์คอนโด ปุณณ 11")</f>
        <v>26/1 มายด์เฮ้าส์คอนโด ปุณณ 11</v>
      </c>
      <c r="G566" s="1" t="str">
        <f ca="1">IFERROR(__xludf.DUMMYFUNCTION("""COMPUTED_VALUE"""),"ตรวจสอบการนำจ่าย")</f>
        <v>ตรวจสอบการนำจ่าย</v>
      </c>
      <c r="H566" s="1" t="str">
        <f ca="1">IFERROR(__xludf.DUMMYFUNCTION("""COMPUTED_VALUE"""),"-")</f>
        <v>-</v>
      </c>
      <c r="I566" s="1" t="str">
        <f ca="1">IFERROR(__xludf.DUMMYFUNCTION("""COMPUTED_VALUE"""),"-")</f>
        <v>-</v>
      </c>
      <c r="J566" s="1" t="str">
        <f ca="1">IFERROR(__xludf.DUMMYFUNCTION("""COMPUTED_VALUE"""),"DB3")</f>
        <v>DB3</v>
      </c>
      <c r="K566" s="1" t="str">
        <f ca="1">IFERROR(__xludf.DUMMYFUNCTION("""COMPUTED_VALUE"""),"ems10260evd3014")</f>
        <v>ems10260evd3014</v>
      </c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 ht="15.75" customHeight="1" x14ac:dyDescent="0.2">
      <c r="A567" s="8">
        <f ca="1">IFERROR(__xludf.DUMMYFUNCTION("""COMPUTED_VALUE"""),45299.6957103587)</f>
        <v>45299.695710358697</v>
      </c>
      <c r="B567" s="1" t="str">
        <f ca="1">IFERROR(__xludf.DUMMYFUNCTION("""COMPUTED_VALUE"""),"CEC")</f>
        <v>CEC</v>
      </c>
      <c r="C567" s="1" t="str">
        <f ca="1">IFERROR(__xludf.DUMMYFUNCTION("""COMPUTED_VALUE"""),"ed243420819th")</f>
        <v>ed243420819th</v>
      </c>
      <c r="D567" s="1" t="str">
        <f ca="1">IFERROR(__xludf.DUMMYFUNCTION("""COMPUTED_VALUE"""),"ปิยะเนตร ")</f>
        <v xml:space="preserve">ปิยะเนตร </v>
      </c>
      <c r="E567" s="1" t="str">
        <f ca="1">IFERROR(__xludf.DUMMYFUNCTION("""COMPUTED_VALUE"""),"089-9827281")</f>
        <v>089-9827281</v>
      </c>
      <c r="F567" s="1" t="str">
        <f ca="1">IFERROR(__xludf.DUMMYFUNCTION("""COMPUTED_VALUE"""),"379 ศาลแพ่งพระโขนง สรรพาวุธ")</f>
        <v>379 ศาลแพ่งพระโขนง สรรพาวุธ</v>
      </c>
      <c r="G567" s="1" t="str">
        <f ca="1">IFERROR(__xludf.DUMMYFUNCTION("""COMPUTED_VALUE"""),"ตรวจสอบการนำจ่าย")</f>
        <v>ตรวจสอบการนำจ่าย</v>
      </c>
      <c r="H567" s="1" t="str">
        <f ca="1">IFERROR(__xludf.DUMMYFUNCTION("""COMPUTED_VALUE"""),"-")</f>
        <v>-</v>
      </c>
      <c r="I567" s="1" t="str">
        <f ca="1">IFERROR(__xludf.DUMMYFUNCTION("""COMPUTED_VALUE"""),"-")</f>
        <v>-</v>
      </c>
      <c r="J567" s="1" t="str">
        <f ca="1">IFERROR(__xludf.DUMMYFUNCTION("""COMPUTED_VALUE"""),"นำจ่ายรถยนต์")</f>
        <v>นำจ่ายรถยนต์</v>
      </c>
      <c r="K567" s="1" t="str">
        <f ca="1">IFERROR(__xludf.DUMMYFUNCTION("""COMPUTED_VALUE"""),"car10260evd5004")</f>
        <v>car10260evd5004</v>
      </c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 ht="15.75" customHeight="1" x14ac:dyDescent="0.2">
      <c r="A568" s="8">
        <f ca="1">IFERROR(__xludf.DUMMYFUNCTION("""COMPUTED_VALUE"""),45299.6975159722)</f>
        <v>45299.697515972199</v>
      </c>
      <c r="B568" s="1" t="str">
        <f ca="1">IFERROR(__xludf.DUMMYFUNCTION("""COMPUTED_VALUE"""),"CEC")</f>
        <v>CEC</v>
      </c>
      <c r="C568" s="1" t="str">
        <f ca="1">IFERROR(__xludf.DUMMYFUNCTION("""COMPUTED_VALUE"""),"ed139594183th")</f>
        <v>ed139594183th</v>
      </c>
      <c r="D568" s="1" t="str">
        <f ca="1">IFERROR(__xludf.DUMMYFUNCTION("""COMPUTED_VALUE"""),"-")</f>
        <v>-</v>
      </c>
      <c r="E568" s="1" t="str">
        <f ca="1">IFERROR(__xludf.DUMMYFUNCTION("""COMPUTED_VALUE"""),"063-3636265 ผู้รับ สมใจ/080-2899587 ผู้ส่ง สุรีย์")</f>
        <v>063-3636265 ผู้รับ สมใจ/080-2899587 ผู้ส่ง สุรีย์</v>
      </c>
      <c r="F568" s="1" t="str">
        <f ca="1">IFERROR(__xludf.DUMMYFUNCTION("""COMPUTED_VALUE"""),"308/5-7 ซ.66/1 พูนสิน")</f>
        <v>308/5-7 ซ.66/1 พูนสิน</v>
      </c>
      <c r="G568" s="1" t="str">
        <f ca="1">IFERROR(__xludf.DUMMYFUNCTION("""COMPUTED_VALUE"""),"ตรวจสอบการนำจ่าย")</f>
        <v>ตรวจสอบการนำจ่าย</v>
      </c>
      <c r="H568" s="1" t="str">
        <f ca="1">IFERROR(__xludf.DUMMYFUNCTION("""COMPUTED_VALUE"""),"-")</f>
        <v>-</v>
      </c>
      <c r="I568" s="1" t="str">
        <f ca="1">IFERROR(__xludf.DUMMYFUNCTION("""COMPUTED_VALUE"""),"-")</f>
        <v>-</v>
      </c>
      <c r="J568" s="1" t="str">
        <f ca="1">IFERROR(__xludf.DUMMYFUNCTION("""COMPUTED_VALUE"""),"DB4")</f>
        <v>DB4</v>
      </c>
      <c r="K568" s="1" t="str">
        <f ca="1">IFERROR(__xludf.DUMMYFUNCTION("""COMPUTED_VALUE"""),"ems10260evd4002")</f>
        <v>ems10260evd4002</v>
      </c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 ht="15.75" customHeight="1" x14ac:dyDescent="0.2">
      <c r="A569" s="8">
        <f ca="1">IFERROR(__xludf.DUMMYFUNCTION("""COMPUTED_VALUE"""),45299.6986364467)</f>
        <v>45299.698636446701</v>
      </c>
      <c r="B569" s="1" t="str">
        <f ca="1">IFERROR(__xludf.DUMMYFUNCTION("""COMPUTED_VALUE"""),"CEC")</f>
        <v>CEC</v>
      </c>
      <c r="C569" s="1" t="str">
        <f ca="1">IFERROR(__xludf.DUMMYFUNCTION("""COMPUTED_VALUE"""),"ed089186581th")</f>
        <v>ed089186581th</v>
      </c>
      <c r="D569" s="1" t="str">
        <f ca="1">IFERROR(__xludf.DUMMYFUNCTION("""COMPUTED_VALUE"""),"ชัญพัทธ์")</f>
        <v>ชัญพัทธ์</v>
      </c>
      <c r="E569" s="1" t="str">
        <f ca="1">IFERROR(__xludf.DUMMYFUNCTION("""COMPUTED_VALUE"""),"082-7006595")</f>
        <v>082-7006595</v>
      </c>
      <c r="F569" s="1" t="str">
        <f ca="1">IFERROR(__xludf.DUMMYFUNCTION("""COMPUTED_VALUE"""),"1191/125 ปาร์คแลนด์คอนโด บางนา ตราด")</f>
        <v>1191/125 ปาร์คแลนด์คอนโด บางนา ตราด</v>
      </c>
      <c r="G569" s="1" t="str">
        <f ca="1">IFERROR(__xludf.DUMMYFUNCTION("""COMPUTED_VALUE"""),"ตรวจสอบการนำจ่าย")</f>
        <v>ตรวจสอบการนำจ่าย</v>
      </c>
      <c r="H569" s="1" t="str">
        <f ca="1">IFERROR(__xludf.DUMMYFUNCTION("""COMPUTED_VALUE"""),"-")</f>
        <v>-</v>
      </c>
      <c r="I569" s="1" t="str">
        <f ca="1">IFERROR(__xludf.DUMMYFUNCTION("""COMPUTED_VALUE"""),"-")</f>
        <v>-</v>
      </c>
      <c r="J569" s="1" t="str">
        <f ca="1">IFERROR(__xludf.DUMMYFUNCTION("""COMPUTED_VALUE"""),"นำจ่ายรถยนต์")</f>
        <v>นำจ่ายรถยนต์</v>
      </c>
      <c r="K569" s="1" t="str">
        <f ca="1">IFERROR(__xludf.DUMMYFUNCTION("""COMPUTED_VALUE"""),"car10260ems5007")</f>
        <v>car10260ems5007</v>
      </c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 ht="15.75" customHeight="1" x14ac:dyDescent="0.2">
      <c r="A570" s="8">
        <f ca="1">IFERROR(__xludf.DUMMYFUNCTION("""COMPUTED_VALUE"""),45300.470283125)</f>
        <v>45300.470283125003</v>
      </c>
      <c r="B570" s="1" t="str">
        <f ca="1">IFERROR(__xludf.DUMMYFUNCTION("""COMPUTED_VALUE"""),"On Queue")</f>
        <v>On Queue</v>
      </c>
      <c r="C570" s="1" t="str">
        <f ca="1">IFERROR(__xludf.DUMMYFUNCTION("""COMPUTED_VALUE"""),"ed139672478th")</f>
        <v>ed139672478th</v>
      </c>
      <c r="D570" s="1" t="str">
        <f ca="1">IFERROR(__xludf.DUMMYFUNCTION("""COMPUTED_VALUE"""),"พรรุจา")</f>
        <v>พรรุจา</v>
      </c>
      <c r="E570" s="1" t="str">
        <f ca="1">IFERROR(__xludf.DUMMYFUNCTION("""COMPUTED_VALUE"""),"092-9532998 ผู้รับ / 081-5082669 ผู้ส่ง")</f>
        <v>092-9532998 ผู้รับ / 081-5082669 ผู้ส่ง</v>
      </c>
      <c r="F570" s="1" t="str">
        <f ca="1">IFERROR(__xludf.DUMMYFUNCTION("""COMPUTED_VALUE"""),"235 ถ.ลาซาน สุขุมวิท 105")</f>
        <v>235 ถ.ลาซาน สุขุมวิท 105</v>
      </c>
      <c r="G570" s="1" t="str">
        <f ca="1">IFERROR(__xludf.DUMMYFUNCTION("""COMPUTED_VALUE"""),"ตรวจสอบการนำจ่าย")</f>
        <v>ตรวจสอบการนำจ่าย</v>
      </c>
      <c r="H570" s="1" t="str">
        <f ca="1">IFERROR(__xludf.DUMMYFUNCTION("""COMPUTED_VALUE"""),"-")</f>
        <v>-</v>
      </c>
      <c r="I570" s="1" t="str">
        <f ca="1">IFERROR(__xludf.DUMMYFUNCTION("""COMPUTED_VALUE"""),"-")</f>
        <v>-</v>
      </c>
      <c r="J570" s="1" t="str">
        <f ca="1">IFERROR(__xludf.DUMMYFUNCTION("""COMPUTED_VALUE"""),"DB1")</f>
        <v>DB1</v>
      </c>
      <c r="K570" s="1" t="str">
        <f ca="1">IFERROR(__xludf.DUMMYFUNCTION("""COMPUTED_VALUE"""),"ems10260evd1001")</f>
        <v>ems10260evd1001</v>
      </c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 ht="15.75" customHeight="1" x14ac:dyDescent="0.2">
      <c r="A571" s="8">
        <f ca="1">IFERROR(__xludf.DUMMYFUNCTION("""COMPUTED_VALUE"""),45300.5174138541)</f>
        <v>45300.517413854097</v>
      </c>
      <c r="B571" s="1" t="str">
        <f ca="1">IFERROR(__xludf.DUMMYFUNCTION("""COMPUTED_VALUE"""),"CEC")</f>
        <v>CEC</v>
      </c>
      <c r="C571" s="1" t="str">
        <f ca="1">IFERROR(__xludf.DUMMYFUNCTION("""COMPUTED_VALUE"""),"em390582000th")</f>
        <v>em390582000th</v>
      </c>
      <c r="D571" s="1" t="str">
        <f ca="1">IFERROR(__xludf.DUMMYFUNCTION("""COMPUTED_VALUE"""),"พล")</f>
        <v>พล</v>
      </c>
      <c r="E571" s="1" t="str">
        <f ca="1">IFERROR(__xludf.DUMMYFUNCTION("""COMPUTED_VALUE"""),"095-4476353")</f>
        <v>095-4476353</v>
      </c>
      <c r="F571" s="1" t="str">
        <f ca="1">IFERROR(__xludf.DUMMYFUNCTION("""COMPUTED_VALUE"""),"112 ซอย.พึ่งมี 11 สุขุมวิท 93")</f>
        <v>112 ซอย.พึ่งมี 11 สุขุมวิท 93</v>
      </c>
      <c r="G571" s="1" t="str">
        <f ca="1">IFERROR(__xludf.DUMMYFUNCTION("""COMPUTED_VALUE"""),"ตรวจสอบการนำจ่าย")</f>
        <v>ตรวจสอบการนำจ่าย</v>
      </c>
      <c r="H571" s="1" t="str">
        <f ca="1">IFERROR(__xludf.DUMMYFUNCTION("""COMPUTED_VALUE"""),"-")</f>
        <v>-</v>
      </c>
      <c r="I571" s="1" t="str">
        <f ca="1">IFERROR(__xludf.DUMMYFUNCTION("""COMPUTED_VALUE"""),"-")</f>
        <v>-</v>
      </c>
      <c r="J571" s="1" t="str">
        <f ca="1">IFERROR(__xludf.DUMMYFUNCTION("""COMPUTED_VALUE"""),"นำจ่ายรถยนต์")</f>
        <v>นำจ่ายรถยนต์</v>
      </c>
      <c r="K571" s="1" t="str">
        <f ca="1">IFERROR(__xludf.DUMMYFUNCTION("""COMPUTED_VALUE"""),"car10260ems5013")</f>
        <v>car10260ems5013</v>
      </c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 ht="15.75" customHeight="1" x14ac:dyDescent="0.2">
      <c r="A572" s="8">
        <f ca="1">IFERROR(__xludf.DUMMYFUNCTION("""COMPUTED_VALUE"""),45300.6034652777)</f>
        <v>45300.603465277702</v>
      </c>
      <c r="B572" s="1" t="str">
        <f ca="1">IFERROR(__xludf.DUMMYFUNCTION("""COMPUTED_VALUE"""),"CEC")</f>
        <v>CEC</v>
      </c>
      <c r="C572" s="1" t="str">
        <f ca="1">IFERROR(__xludf.DUMMYFUNCTION("""COMPUTED_VALUE"""),"ed127459433th")</f>
        <v>ed127459433th</v>
      </c>
      <c r="D572" s="1" t="str">
        <f ca="1">IFERROR(__xludf.DUMMYFUNCTION("""COMPUTED_VALUE"""),"เพ็ญนภา")</f>
        <v>เพ็ญนภา</v>
      </c>
      <c r="E572" s="1" t="str">
        <f ca="1">IFERROR(__xludf.DUMMYFUNCTION("""COMPUTED_VALUE"""),"093-0793541")</f>
        <v>093-0793541</v>
      </c>
      <c r="F572" s="1" t="str">
        <f ca="1">IFERROR(__xludf.DUMMYFUNCTION("""COMPUTED_VALUE"""),"คอนโดรีเจ้นส์โฮม สุขุมวิท 79/1")</f>
        <v>คอนโดรีเจ้นส์โฮม สุขุมวิท 79/1</v>
      </c>
      <c r="G572" s="1" t="str">
        <f ca="1">IFERROR(__xludf.DUMMYFUNCTION("""COMPUTED_VALUE"""),"ตรวจสอบการนำจ่าย")</f>
        <v>ตรวจสอบการนำจ่าย</v>
      </c>
      <c r="H572" s="1" t="str">
        <f ca="1">IFERROR(__xludf.DUMMYFUNCTION("""COMPUTED_VALUE"""),"-")</f>
        <v>-</v>
      </c>
      <c r="I572" s="1" t="str">
        <f ca="1">IFERROR(__xludf.DUMMYFUNCTION("""COMPUTED_VALUE"""),"-")</f>
        <v>-</v>
      </c>
      <c r="J572" s="1" t="str">
        <f ca="1">IFERROR(__xludf.DUMMYFUNCTION("""COMPUTED_VALUE"""),"นำจ่ายรถยนต์")</f>
        <v>นำจ่ายรถยนต์</v>
      </c>
      <c r="K572" s="1" t="str">
        <f ca="1">IFERROR(__xludf.DUMMYFUNCTION("""COMPUTED_VALUE"""),"car10260evd5014")</f>
        <v>car10260evd5014</v>
      </c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 ht="15.75" customHeight="1" x14ac:dyDescent="0.2">
      <c r="A573" s="8">
        <f ca="1">IFERROR(__xludf.DUMMYFUNCTION("""COMPUTED_VALUE"""),45300.60432978)</f>
        <v>45300.604329779999</v>
      </c>
      <c r="B573" s="1" t="str">
        <f ca="1">IFERROR(__xludf.DUMMYFUNCTION("""COMPUTED_VALUE"""),"CEC")</f>
        <v>CEC</v>
      </c>
      <c r="C573" s="1" t="str">
        <f ca="1">IFERROR(__xludf.DUMMYFUNCTION("""COMPUTED_VALUE"""),"ea727885110th")</f>
        <v>ea727885110th</v>
      </c>
      <c r="D573" s="1" t="str">
        <f ca="1">IFERROR(__xludf.DUMMYFUNCTION("""COMPUTED_VALUE"""),"กิว")</f>
        <v>กิว</v>
      </c>
      <c r="E573" s="1" t="str">
        <f ca="1">IFERROR(__xludf.DUMMYFUNCTION("""COMPUTED_VALUE"""),"064-5748746")</f>
        <v>064-5748746</v>
      </c>
      <c r="F573" s="1" t="str">
        <f ca="1">IFERROR(__xludf.DUMMYFUNCTION("""COMPUTED_VALUE"""),"549/1 บ.คอมเซเว่น สรรพาวุธ")</f>
        <v>549/1 บ.คอมเซเว่น สรรพาวุธ</v>
      </c>
      <c r="G573" s="1" t="str">
        <f ca="1">IFERROR(__xludf.DUMMYFUNCTION("""COMPUTED_VALUE"""),"นำจ่ายใหม่")</f>
        <v>นำจ่ายใหม่</v>
      </c>
      <c r="H573" s="1" t="str">
        <f ca="1">IFERROR(__xludf.DUMMYFUNCTION("""COMPUTED_VALUE"""),"COD.225 บาท")</f>
        <v>COD.225 บาท</v>
      </c>
      <c r="I573" s="1" t="str">
        <f ca="1">IFERROR(__xludf.DUMMYFUNCTION("""COMPUTED_VALUE"""),"-")</f>
        <v>-</v>
      </c>
      <c r="J573" s="1" t="str">
        <f ca="1">IFERROR(__xludf.DUMMYFUNCTION("""COMPUTED_VALUE"""),"DB1")</f>
        <v>DB1</v>
      </c>
      <c r="K573" s="1" t="str">
        <f ca="1">IFERROR(__xludf.DUMMYFUNCTION("""COMPUTED_VALUE"""),"ems10260evd1003")</f>
        <v>ems10260evd1003</v>
      </c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 ht="15.75" customHeight="1" x14ac:dyDescent="0.2">
      <c r="A574" s="8">
        <f ca="1">IFERROR(__xludf.DUMMYFUNCTION("""COMPUTED_VALUE"""),45300.6127656944)</f>
        <v>45300.612765694401</v>
      </c>
      <c r="B574" s="1" t="str">
        <f ca="1">IFERROR(__xludf.DUMMYFUNCTION("""COMPUTED_VALUE"""),"CEC")</f>
        <v>CEC</v>
      </c>
      <c r="C574" s="1" t="str">
        <f ca="1">IFERROR(__xludf.DUMMYFUNCTION("""COMPUTED_VALUE"""),"rk006367345th")</f>
        <v>rk006367345th</v>
      </c>
      <c r="D574" s="1" t="str">
        <f ca="1">IFERROR(__xludf.DUMMYFUNCTION("""COMPUTED_VALUE"""),"-")</f>
        <v>-</v>
      </c>
      <c r="E574" s="1" t="str">
        <f ca="1">IFERROR(__xludf.DUMMYFUNCTION("""COMPUTED_VALUE"""),"065-9505979")</f>
        <v>065-9505979</v>
      </c>
      <c r="F574" s="1" t="str">
        <f ca="1">IFERROR(__xludf.DUMMYFUNCTION("""COMPUTED_VALUE"""),"999 บ.เบนซ์ บีเคเค บางนาเหนือ")</f>
        <v>999 บ.เบนซ์ บีเคเค บางนาเหนือ</v>
      </c>
      <c r="G574" s="1" t="str">
        <f ca="1">IFERROR(__xludf.DUMMYFUNCTION("""COMPUTED_VALUE"""),"ตรวจสอบการนำจ่าย")</f>
        <v>ตรวจสอบการนำจ่าย</v>
      </c>
      <c r="H574" s="1" t="str">
        <f ca="1">IFERROR(__xludf.DUMMYFUNCTION("""COMPUTED_VALUE"""),"-")</f>
        <v>-</v>
      </c>
      <c r="I574" s="1" t="str">
        <f ca="1">IFERROR(__xludf.DUMMYFUNCTION("""COMPUTED_VALUE"""),"-")</f>
        <v>-</v>
      </c>
      <c r="J574" s="1" t="str">
        <f ca="1">IFERROR(__xludf.DUMMYFUNCTION("""COMPUTED_VALUE"""),"DB2")</f>
        <v>DB2</v>
      </c>
      <c r="K574" s="1" t="str">
        <f ca="1">IFERROR(__xludf.DUMMYFUNCTION("""COMPUTED_VALUE"""),"ems10260evd2010")</f>
        <v>ems10260evd2010</v>
      </c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 ht="15.75" customHeight="1" x14ac:dyDescent="0.2">
      <c r="A575" s="8">
        <f ca="1">IFERROR(__xludf.DUMMYFUNCTION("""COMPUTED_VALUE"""),45300.6536384953)</f>
        <v>45300.6536384953</v>
      </c>
      <c r="B575" s="1" t="str">
        <f ca="1">IFERROR(__xludf.DUMMYFUNCTION("""COMPUTED_VALUE"""),"On Queue")</f>
        <v>On Queue</v>
      </c>
      <c r="C575" s="1" t="str">
        <f ca="1">IFERROR(__xludf.DUMMYFUNCTION("""COMPUTED_VALUE"""),"rl640769946th")</f>
        <v>rl640769946th</v>
      </c>
      <c r="D575" s="1" t="str">
        <f ca="1">IFERROR(__xludf.DUMMYFUNCTION("""COMPUTED_VALUE"""),"ณฐพร")</f>
        <v>ณฐพร</v>
      </c>
      <c r="E575" s="1" t="str">
        <f ca="1">IFERROR(__xludf.DUMMYFUNCTION("""COMPUTED_VALUE"""),"093-6694282")</f>
        <v>093-6694282</v>
      </c>
      <c r="F575" s="1" t="str">
        <f ca="1">IFERROR(__xludf.DUMMYFUNCTION("""COMPUTED_VALUE"""),"753 ถ.เทพรัตน์ บางนา ตราด")</f>
        <v>753 ถ.เทพรัตน์ บางนา ตราด</v>
      </c>
      <c r="G575" s="1" t="str">
        <f ca="1">IFERROR(__xludf.DUMMYFUNCTION("""COMPUTED_VALUE"""),"ตรวจสอบการนำจ่าย")</f>
        <v>ตรวจสอบการนำจ่าย</v>
      </c>
      <c r="H575" s="1" t="str">
        <f ca="1">IFERROR(__xludf.DUMMYFUNCTION("""COMPUTED_VALUE"""),"-")</f>
        <v>-</v>
      </c>
      <c r="I575" s="1" t="str">
        <f ca="1">IFERROR(__xludf.DUMMYFUNCTION("""COMPUTED_VALUE"""),"-")</f>
        <v>-</v>
      </c>
      <c r="J575" s="1" t="str">
        <f ca="1">IFERROR(__xludf.DUMMYFUNCTION("""COMPUTED_VALUE"""),"DB2")</f>
        <v>DB2</v>
      </c>
      <c r="K575" s="1" t="str">
        <f ca="1">IFERROR(__xludf.DUMMYFUNCTION("""COMPUTED_VALUE"""),"zne10260evd2002")</f>
        <v>zne10260evd2002</v>
      </c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 ht="15.75" customHeight="1" x14ac:dyDescent="0.2">
      <c r="A576" s="8">
        <f ca="1">IFERROR(__xludf.DUMMYFUNCTION("""COMPUTED_VALUE"""),45300.6933421064)</f>
        <v>45300.693342106402</v>
      </c>
      <c r="B576" s="1" t="str">
        <f ca="1">IFERROR(__xludf.DUMMYFUNCTION("""COMPUTED_VALUE"""),"CEC")</f>
        <v>CEC</v>
      </c>
      <c r="C576" s="1" t="str">
        <f ca="1">IFERROR(__xludf.DUMMYFUNCTION("""COMPUTED_VALUE"""),"jf156709460th")</f>
        <v>jf156709460th</v>
      </c>
      <c r="D576" s="1" t="str">
        <f ca="1">IFERROR(__xludf.DUMMYFUNCTION("""COMPUTED_VALUE"""),"ศิริอาภรณ์ ")</f>
        <v xml:space="preserve">ศิริอาภรณ์ </v>
      </c>
      <c r="E576" s="1" t="str">
        <f ca="1">IFERROR(__xludf.DUMMYFUNCTION("""COMPUTED_VALUE"""),"061-4975744")</f>
        <v>061-4975744</v>
      </c>
      <c r="F576" s="1" t="str">
        <f ca="1">IFERROR(__xludf.DUMMYFUNCTION("""COMPUTED_VALUE"""),"71 ซอย.สุขุมวิท 97")</f>
        <v>71 ซอย.สุขุมวิท 97</v>
      </c>
      <c r="G576" s="1" t="str">
        <f ca="1">IFERROR(__xludf.DUMMYFUNCTION("""COMPUTED_VALUE"""),"นำจ่ายใหม่")</f>
        <v>นำจ่ายใหม่</v>
      </c>
      <c r="H576" s="1" t="str">
        <f ca="1">IFERROR(__xludf.DUMMYFUNCTION("""COMPUTED_VALUE"""),"-")</f>
        <v>-</v>
      </c>
      <c r="I576" s="1" t="str">
        <f ca="1">IFERROR(__xludf.DUMMYFUNCTION("""COMPUTED_VALUE"""),"-")</f>
        <v>-</v>
      </c>
      <c r="J576" s="1" t="str">
        <f ca="1">IFERROR(__xludf.DUMMYFUNCTION("""COMPUTED_VALUE"""),"DB3")</f>
        <v>DB3</v>
      </c>
      <c r="K576" s="1" t="str">
        <f ca="1">IFERROR(__xludf.DUMMYFUNCTION("""COMPUTED_VALUE"""),"ems10260evd3013")</f>
        <v>ems10260evd3013</v>
      </c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 ht="15.75" customHeight="1" x14ac:dyDescent="0.2">
      <c r="A577" s="8">
        <f ca="1">IFERROR(__xludf.DUMMYFUNCTION("""COMPUTED_VALUE"""),45307.5138672801)</f>
        <v>45307.513867280097</v>
      </c>
      <c r="B577" s="1" t="str">
        <f ca="1">IFERROR(__xludf.DUMMYFUNCTION("""COMPUTED_VALUE"""),"CEC")</f>
        <v>CEC</v>
      </c>
      <c r="C577" s="1" t="str">
        <f ca="1">IFERROR(__xludf.DUMMYFUNCTION("""COMPUTED_VALUE"""),"ed091482588th")</f>
        <v>ed091482588th</v>
      </c>
      <c r="D577" s="1" t="str">
        <f ca="1">IFERROR(__xludf.DUMMYFUNCTION("""COMPUTED_VALUE"""),"วรลพน์")</f>
        <v>วรลพน์</v>
      </c>
      <c r="E577" s="1" t="str">
        <f ca="1">IFERROR(__xludf.DUMMYFUNCTION("""COMPUTED_VALUE"""),"065-3891862")</f>
        <v>065-3891862</v>
      </c>
      <c r="F577" s="1" t="str">
        <f ca="1">IFERROR(__xludf.DUMMYFUNCTION("""COMPUTED_VALUE"""),"410/34 นิรันดร์คอนโด ตึก เค สุขุมวิท 93")</f>
        <v>410/34 นิรันดร์คอนโด ตึก เค สุขุมวิท 93</v>
      </c>
      <c r="G577" s="1" t="str">
        <f ca="1">IFERROR(__xludf.DUMMYFUNCTION("""COMPUTED_VALUE"""),"ตรวจสอบการนำจ่าย")</f>
        <v>ตรวจสอบการนำจ่าย</v>
      </c>
      <c r="H577" s="1" t="str">
        <f ca="1">IFERROR(__xludf.DUMMYFUNCTION("""COMPUTED_VALUE"""),"-")</f>
        <v>-</v>
      </c>
      <c r="I577" s="1" t="str">
        <f ca="1">IFERROR(__xludf.DUMMYFUNCTION("""COMPUTED_VALUE"""),"-")</f>
        <v>-</v>
      </c>
      <c r="J577" s="1" t="str">
        <f ca="1">IFERROR(__xludf.DUMMYFUNCTION("""COMPUTED_VALUE"""),"DB3")</f>
        <v>DB3</v>
      </c>
      <c r="K577" s="1" t="str">
        <f ca="1">IFERROR(__xludf.DUMMYFUNCTION("""COMPUTED_VALUE"""),"ems10260evd3006")</f>
        <v>ems10260evd3006</v>
      </c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 ht="15.75" customHeight="1" x14ac:dyDescent="0.2">
      <c r="A578" s="8">
        <f ca="1">IFERROR(__xludf.DUMMYFUNCTION("""COMPUTED_VALUE"""),45307.5150256018)</f>
        <v>45307.515025601802</v>
      </c>
      <c r="B578" s="1" t="str">
        <f ca="1">IFERROR(__xludf.DUMMYFUNCTION("""COMPUTED_VALUE"""),"CEC")</f>
        <v>CEC</v>
      </c>
      <c r="C578" s="1" t="str">
        <f ca="1">IFERROR(__xludf.DUMMYFUNCTION("""COMPUTED_VALUE"""),"ed193816176th")</f>
        <v>ed193816176th</v>
      </c>
      <c r="D578" s="1" t="str">
        <f ca="1">IFERROR(__xludf.DUMMYFUNCTION("""COMPUTED_VALUE"""),"รณรงค์")</f>
        <v>รณรงค์</v>
      </c>
      <c r="E578" s="1" t="str">
        <f ca="1">IFERROR(__xludf.DUMMYFUNCTION("""COMPUTED_VALUE"""),"080-6590998")</f>
        <v>080-6590998</v>
      </c>
      <c r="F578" s="1" t="str">
        <f ca="1">IFERROR(__xludf.DUMMYFUNCTION("""COMPUTED_VALUE"""),"2341 อุดมสุข 34 ซ.103 สุดซอย")</f>
        <v>2341 อุดมสุข 34 ซ.103 สุดซอย</v>
      </c>
      <c r="G578" s="1" t="str">
        <f ca="1">IFERROR(__xludf.DUMMYFUNCTION("""COMPUTED_VALUE"""),"นำจ่ายใหม่")</f>
        <v>นำจ่ายใหม่</v>
      </c>
      <c r="H578" s="1" t="str">
        <f ca="1">IFERROR(__xludf.DUMMYFUNCTION("""COMPUTED_VALUE"""),"-")</f>
        <v>-</v>
      </c>
      <c r="I578" s="1" t="str">
        <f ca="1">IFERROR(__xludf.DUMMYFUNCTION("""COMPUTED_VALUE"""),"-")</f>
        <v>-</v>
      </c>
      <c r="J578" s="1" t="str">
        <f ca="1">IFERROR(__xludf.DUMMYFUNCTION("""COMPUTED_VALUE"""),"นำจ่ายรถยนต์")</f>
        <v>นำจ่ายรถยนต์</v>
      </c>
      <c r="K578" s="1" t="str">
        <f ca="1">IFERROR(__xludf.DUMMYFUNCTION("""COMPUTED_VALUE"""),"car10260evd5009")</f>
        <v>car10260evd5009</v>
      </c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 ht="15.75" customHeight="1" x14ac:dyDescent="0.2">
      <c r="A579" s="8">
        <f ca="1">IFERROR(__xludf.DUMMYFUNCTION("""COMPUTED_VALUE"""),45307.5170013541)</f>
        <v>45307.517001354099</v>
      </c>
      <c r="B579" s="1" t="str">
        <f ca="1">IFERROR(__xludf.DUMMYFUNCTION("""COMPUTED_VALUE"""),"On Queue")</f>
        <v>On Queue</v>
      </c>
      <c r="C579" s="1" t="str">
        <f ca="1">IFERROR(__xludf.DUMMYFUNCTION("""COMPUTED_VALUE"""),"jn032244225th")</f>
        <v>jn032244225th</v>
      </c>
      <c r="D579" s="1" t="str">
        <f ca="1">IFERROR(__xludf.DUMMYFUNCTION("""COMPUTED_VALUE"""),"อนุชา")</f>
        <v>อนุชา</v>
      </c>
      <c r="E579" s="1" t="str">
        <f ca="1">IFERROR(__xludf.DUMMYFUNCTION("""COMPUTED_VALUE"""),"084-0957890")</f>
        <v>084-0957890</v>
      </c>
      <c r="F579" s="1" t="str">
        <f ca="1">IFERROR(__xludf.DUMMYFUNCTION("""COMPUTED_VALUE"""),"57/378 อพาร์ทเมนท์บ้านคุณแม่ สาธิต 20")</f>
        <v>57/378 อพาร์ทเมนท์บ้านคุณแม่ สาธิต 20</v>
      </c>
      <c r="G579" s="1" t="str">
        <f ca="1">IFERROR(__xludf.DUMMYFUNCTION("""COMPUTED_VALUE"""),"ตรวจสอบการนำจ่าย")</f>
        <v>ตรวจสอบการนำจ่าย</v>
      </c>
      <c r="H579" s="1" t="str">
        <f ca="1">IFERROR(__xludf.DUMMYFUNCTION("""COMPUTED_VALUE"""),"-")</f>
        <v>-</v>
      </c>
      <c r="I579" s="1" t="str">
        <f ca="1">IFERROR(__xludf.DUMMYFUNCTION("""COMPUTED_VALUE"""),"-")</f>
        <v>-</v>
      </c>
      <c r="J579" s="1" t="str">
        <f ca="1">IFERROR(__xludf.DUMMYFUNCTION("""COMPUTED_VALUE"""),"นำจ่ายรถยนต์")</f>
        <v>นำจ่ายรถยนต์</v>
      </c>
      <c r="K579" s="1" t="str">
        <f ca="1">IFERROR(__xludf.DUMMYFUNCTION("""COMPUTED_VALUE"""),"car10260evd5011")</f>
        <v>car10260evd5011</v>
      </c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 ht="15.75" customHeight="1" x14ac:dyDescent="0.2">
      <c r="A580" s="8">
        <f ca="1">IFERROR(__xludf.DUMMYFUNCTION("""COMPUTED_VALUE"""),45307.5947558796)</f>
        <v>45307.594755879603</v>
      </c>
      <c r="B580" s="1" t="str">
        <f ca="1">IFERROR(__xludf.DUMMYFUNCTION("""COMPUTED_VALUE"""),"CEC")</f>
        <v>CEC</v>
      </c>
      <c r="C580" s="1" t="str">
        <f ca="1">IFERROR(__xludf.DUMMYFUNCTION("""COMPUTED_VALUE"""),"ea919935968th")</f>
        <v>ea919935968th</v>
      </c>
      <c r="D580" s="1" t="str">
        <f ca="1">IFERROR(__xludf.DUMMYFUNCTION("""COMPUTED_VALUE"""),"โอปอ")</f>
        <v>โอปอ</v>
      </c>
      <c r="E580" s="1" t="str">
        <f ca="1">IFERROR(__xludf.DUMMYFUNCTION("""COMPUTED_VALUE"""),"095-8736113")</f>
        <v>095-8736113</v>
      </c>
      <c r="F580" s="1" t="str">
        <f ca="1">IFERROR(__xludf.DUMMYFUNCTION("""COMPUTED_VALUE"""),"703 ซ.อุดมสุข 26 แยก 45 บางนาเหนือ")</f>
        <v>703 ซ.อุดมสุข 26 แยก 45 บางนาเหนือ</v>
      </c>
      <c r="G580" s="1" t="str">
        <f ca="1">IFERROR(__xludf.DUMMYFUNCTION("""COMPUTED_VALUE"""),"นำจ่ายใหม่")</f>
        <v>นำจ่ายใหม่</v>
      </c>
      <c r="H580" s="1" t="str">
        <f ca="1">IFERROR(__xludf.DUMMYFUNCTION("""COMPUTED_VALUE"""),"cod.236 บาท")</f>
        <v>cod.236 บาท</v>
      </c>
      <c r="I580" s="1" t="str">
        <f ca="1">IFERROR(__xludf.DUMMYFUNCTION("""COMPUTED_VALUE"""),"-")</f>
        <v>-</v>
      </c>
      <c r="J580" s="1" t="str">
        <f ca="1">IFERROR(__xludf.DUMMYFUNCTION("""COMPUTED_VALUE"""),"DB2")</f>
        <v>DB2</v>
      </c>
      <c r="K580" s="1" t="str">
        <f ca="1">IFERROR(__xludf.DUMMYFUNCTION("""COMPUTED_VALUE"""),"ems10260evd2017")</f>
        <v>ems10260evd2017</v>
      </c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 ht="15.75" customHeight="1" x14ac:dyDescent="0.2">
      <c r="A581" s="8">
        <f ca="1">IFERROR(__xludf.DUMMYFUNCTION("""COMPUTED_VALUE"""),45307.5955062152)</f>
        <v>45307.595506215199</v>
      </c>
      <c r="B581" s="1" t="str">
        <f ca="1">IFERROR(__xludf.DUMMYFUNCTION("""COMPUTED_VALUE"""),"CEC")</f>
        <v>CEC</v>
      </c>
      <c r="C581" s="1" t="str">
        <f ca="1">IFERROR(__xludf.DUMMYFUNCTION("""COMPUTED_VALUE"""),"ed162280759th")</f>
        <v>ed162280759th</v>
      </c>
      <c r="D581" s="1" t="str">
        <f ca="1">IFERROR(__xludf.DUMMYFUNCTION("""COMPUTED_VALUE"""),"พรรณี")</f>
        <v>พรรณี</v>
      </c>
      <c r="E581" s="1" t="str">
        <f ca="1">IFERROR(__xludf.DUMMYFUNCTION("""COMPUTED_VALUE"""),"081-7003262")</f>
        <v>081-7003262</v>
      </c>
      <c r="F581" s="1" t="str">
        <f ca="1">IFERROR(__xludf.DUMMYFUNCTION("""COMPUTED_VALUE"""),"41 ซอย.สาธิต 43 สุขุมวิท 101/1")</f>
        <v>41 ซอย.สาธิต 43 สุขุมวิท 101/1</v>
      </c>
      <c r="G581" s="1" t="str">
        <f ca="1">IFERROR(__xludf.DUMMYFUNCTION("""COMPUTED_VALUE"""),"ตรวจสอบการนำจ่าย")</f>
        <v>ตรวจสอบการนำจ่าย</v>
      </c>
      <c r="H581" s="1" t="str">
        <f ca="1">IFERROR(__xludf.DUMMYFUNCTION("""COMPUTED_VALUE"""),"-")</f>
        <v>-</v>
      </c>
      <c r="I581" s="1" t="str">
        <f ca="1">IFERROR(__xludf.DUMMYFUNCTION("""COMPUTED_VALUE"""),"-")</f>
        <v>-</v>
      </c>
      <c r="J581" s="1" t="str">
        <f ca="1">IFERROR(__xludf.DUMMYFUNCTION("""COMPUTED_VALUE"""),"นำจ่ายรถยนต์")</f>
        <v>นำจ่ายรถยนต์</v>
      </c>
      <c r="K581" s="1" t="str">
        <f ca="1">IFERROR(__xludf.DUMMYFUNCTION("""COMPUTED_VALUE"""),"car10260evd5011")</f>
        <v>car10260evd5011</v>
      </c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 ht="15.75" customHeight="1" x14ac:dyDescent="0.2">
      <c r="A582" s="8">
        <f ca="1">IFERROR(__xludf.DUMMYFUNCTION("""COMPUTED_VALUE"""),45307.5962664236)</f>
        <v>45307.596266423599</v>
      </c>
      <c r="B582" s="1" t="str">
        <f ca="1">IFERROR(__xludf.DUMMYFUNCTION("""COMPUTED_VALUE"""),"CEC")</f>
        <v>CEC</v>
      </c>
      <c r="C582" s="1" t="str">
        <f ca="1">IFERROR(__xludf.DUMMYFUNCTION("""COMPUTED_VALUE"""),"ed162280762th")</f>
        <v>ed162280762th</v>
      </c>
      <c r="D582" s="1" t="str">
        <f ca="1">IFERROR(__xludf.DUMMYFUNCTION("""COMPUTED_VALUE"""),"พรรณี")</f>
        <v>พรรณี</v>
      </c>
      <c r="E582" s="1" t="str">
        <f ca="1">IFERROR(__xludf.DUMMYFUNCTION("""COMPUTED_VALUE"""),"081-7003262")</f>
        <v>081-7003262</v>
      </c>
      <c r="F582" s="1" t="str">
        <f ca="1">IFERROR(__xludf.DUMMYFUNCTION("""COMPUTED_VALUE"""),"41 ซอย.สาธิต 43 สุขุมวิท 101/1")</f>
        <v>41 ซอย.สาธิต 43 สุขุมวิท 101/1</v>
      </c>
      <c r="G582" s="1" t="str">
        <f ca="1">IFERROR(__xludf.DUMMYFUNCTION("""COMPUTED_VALUE"""),"ตรวจสอบการนำจ่าย")</f>
        <v>ตรวจสอบการนำจ่าย</v>
      </c>
      <c r="H582" s="1" t="str">
        <f ca="1">IFERROR(__xludf.DUMMYFUNCTION("""COMPUTED_VALUE"""),"-")</f>
        <v>-</v>
      </c>
      <c r="I582" s="1" t="str">
        <f ca="1">IFERROR(__xludf.DUMMYFUNCTION("""COMPUTED_VALUE"""),"-")</f>
        <v>-</v>
      </c>
      <c r="J582" s="1" t="str">
        <f ca="1">IFERROR(__xludf.DUMMYFUNCTION("""COMPUTED_VALUE"""),"นำจ่ายรถยนต์")</f>
        <v>นำจ่ายรถยนต์</v>
      </c>
      <c r="K582" s="1" t="str">
        <f ca="1">IFERROR(__xludf.DUMMYFUNCTION("""COMPUTED_VALUE"""),"car10260evd5011")</f>
        <v>car10260evd5011</v>
      </c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 ht="15.75" customHeight="1" x14ac:dyDescent="0.2">
      <c r="A583" s="8">
        <f ca="1">IFERROR(__xludf.DUMMYFUNCTION("""COMPUTED_VALUE"""),45307.6896506018)</f>
        <v>45307.689650601802</v>
      </c>
      <c r="B583" s="1" t="str">
        <f ca="1">IFERROR(__xludf.DUMMYFUNCTION("""COMPUTED_VALUE"""),"CEC")</f>
        <v>CEC</v>
      </c>
      <c r="C583" s="1" t="str">
        <f ca="1">IFERROR(__xludf.DUMMYFUNCTION("""COMPUTED_VALUE"""),"jf167269239th")</f>
        <v>jf167269239th</v>
      </c>
      <c r="D583" s="1" t="str">
        <f ca="1">IFERROR(__xludf.DUMMYFUNCTION("""COMPUTED_VALUE"""),"นุชลี")</f>
        <v>นุชลี</v>
      </c>
      <c r="E583" s="1" t="str">
        <f ca="1">IFERROR(__xludf.DUMMYFUNCTION("""COMPUTED_VALUE"""),"090-9523406")</f>
        <v>090-9523406</v>
      </c>
      <c r="F583" s="1" t="str">
        <f ca="1">IFERROR(__xludf.DUMMYFUNCTION("""COMPUTED_VALUE"""),"1/2173 บ้านเอื่ออมรสุข ริมทางรถ ฯ")</f>
        <v>1/2173 บ้านเอื่ออมรสุข ริมทางรถ ฯ</v>
      </c>
      <c r="G583" s="1" t="str">
        <f ca="1">IFERROR(__xludf.DUMMYFUNCTION("""COMPUTED_VALUE"""),"นำจ่ายใหม่")</f>
        <v>นำจ่ายใหม่</v>
      </c>
      <c r="H583" s="1" t="str">
        <f ca="1">IFERROR(__xludf.DUMMYFUNCTION("""COMPUTED_VALUE"""),"COD.1429 บาท")</f>
        <v>COD.1429 บาท</v>
      </c>
      <c r="I583" s="1" t="str">
        <f ca="1">IFERROR(__xludf.DUMMYFUNCTION("""COMPUTED_VALUE"""),"-")</f>
        <v>-</v>
      </c>
      <c r="J583" s="1" t="str">
        <f ca="1">IFERROR(__xludf.DUMMYFUNCTION("""COMPUTED_VALUE"""),"DB4")</f>
        <v>DB4</v>
      </c>
      <c r="K583" s="1" t="str">
        <f ca="1">IFERROR(__xludf.DUMMYFUNCTION("""COMPUTED_VALUE"""),"ems10260evd4012")</f>
        <v>ems10260evd4012</v>
      </c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 ht="15.75" customHeight="1" x14ac:dyDescent="0.2">
      <c r="A584" s="8">
        <f ca="1">IFERROR(__xludf.DUMMYFUNCTION("""COMPUTED_VALUE"""),45307.6912497569)</f>
        <v>45307.691249756899</v>
      </c>
      <c r="B584" s="1" t="str">
        <f ca="1">IFERROR(__xludf.DUMMYFUNCTION("""COMPUTED_VALUE"""),"CEC")</f>
        <v>CEC</v>
      </c>
      <c r="C584" s="1" t="str">
        <f ca="1">IFERROR(__xludf.DUMMYFUNCTION("""COMPUTED_VALUE"""),"eo331558818th")</f>
        <v>eo331558818th</v>
      </c>
      <c r="D584" s="1" t="str">
        <f ca="1">IFERROR(__xludf.DUMMYFUNCTION("""COMPUTED_VALUE"""),"นริศรา")</f>
        <v>นริศรา</v>
      </c>
      <c r="E584" s="1" t="str">
        <f ca="1">IFERROR(__xludf.DUMMYFUNCTION("""COMPUTED_VALUE"""),"061-3217659")</f>
        <v>061-3217659</v>
      </c>
      <c r="F584" s="1" t="str">
        <f ca="1">IFERROR(__xludf.DUMMYFUNCTION("""COMPUTED_VALUE"""),"68/1 ร้านชีสคาเฟ่ บางนา ตราด 23")</f>
        <v>68/1 ร้านชีสคาเฟ่ บางนา ตราด 23</v>
      </c>
      <c r="G584" s="1" t="str">
        <f ca="1">IFERROR(__xludf.DUMMYFUNCTION("""COMPUTED_VALUE"""),"ตรวจสอบการนำจ่าย")</f>
        <v>ตรวจสอบการนำจ่าย</v>
      </c>
      <c r="H584" s="1" t="str">
        <f ca="1">IFERROR(__xludf.DUMMYFUNCTION("""COMPUTED_VALUE"""),"พาสสปอร์ต")</f>
        <v>พาสสปอร์ต</v>
      </c>
      <c r="I584" s="1" t="str">
        <f ca="1">IFERROR(__xludf.DUMMYFUNCTION("""COMPUTED_VALUE"""),"-")</f>
        <v>-</v>
      </c>
      <c r="J584" s="1" t="str">
        <f ca="1">IFERROR(__xludf.DUMMYFUNCTION("""COMPUTED_VALUE"""),"DB2")</f>
        <v>DB2</v>
      </c>
      <c r="K584" s="1" t="str">
        <f ca="1">IFERROR(__xludf.DUMMYFUNCTION("""COMPUTED_VALUE"""),"ems10260evd2014")</f>
        <v>ems10260evd2014</v>
      </c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 ht="15.75" customHeight="1" x14ac:dyDescent="0.2">
      <c r="A585" s="8">
        <f ca="1">IFERROR(__xludf.DUMMYFUNCTION("""COMPUTED_VALUE"""),45307.6962029976)</f>
        <v>45307.696202997598</v>
      </c>
      <c r="B585" s="1" t="str">
        <f ca="1">IFERROR(__xludf.DUMMYFUNCTION("""COMPUTED_VALUE"""),"CEC")</f>
        <v>CEC</v>
      </c>
      <c r="C585" s="1" t="str">
        <f ca="1">IFERROR(__xludf.DUMMYFUNCTION("""COMPUTED_VALUE"""),"eb044063698th")</f>
        <v>eb044063698th</v>
      </c>
      <c r="D585" s="1" t="str">
        <f ca="1">IFERROR(__xludf.DUMMYFUNCTION("""COMPUTED_VALUE"""),"ธเนศ")</f>
        <v>ธเนศ</v>
      </c>
      <c r="E585" s="1" t="str">
        <f ca="1">IFERROR(__xludf.DUMMYFUNCTION("""COMPUTED_VALUE"""),"-")</f>
        <v>-</v>
      </c>
      <c r="F585" s="1" t="str">
        <f ca="1">IFERROR(__xludf.DUMMYFUNCTION("""COMPUTED_VALUE"""),"1068 ซอย.วชิรธรรมสาธิต 40 สุขุมวิท 101/1")</f>
        <v>1068 ซอย.วชิรธรรมสาธิต 40 สุขุมวิท 101/1</v>
      </c>
      <c r="G585" s="1" t="str">
        <f ca="1">IFERROR(__xludf.DUMMYFUNCTION("""COMPUTED_VALUE"""),"ตรวจสอบการนำจ่าย")</f>
        <v>ตรวจสอบการนำจ่าย</v>
      </c>
      <c r="H585" s="1" t="str">
        <f ca="1">IFERROR(__xludf.DUMMYFUNCTION("""COMPUTED_VALUE"""),"นำจ่ายเรียบร้อย ( พาสสปอร์ต )")</f>
        <v>นำจ่ายเรียบร้อย ( พาสสปอร์ต )</v>
      </c>
      <c r="I585" s="1" t="str">
        <f ca="1">IFERROR(__xludf.DUMMYFUNCTION("""COMPUTED_VALUE"""),"-")</f>
        <v>-</v>
      </c>
      <c r="J585" s="1" t="str">
        <f ca="1">IFERROR(__xludf.DUMMYFUNCTION("""COMPUTED_VALUE"""),"DB3")</f>
        <v>DB3</v>
      </c>
      <c r="K585" s="1" t="str">
        <f ca="1">IFERROR(__xludf.DUMMYFUNCTION("""COMPUTED_VALUE"""),"ems10260evd3036")</f>
        <v>ems10260evd3036</v>
      </c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 ht="15.75" customHeight="1" x14ac:dyDescent="0.2">
      <c r="A586" s="8">
        <f ca="1">IFERROR(__xludf.DUMMYFUNCTION("""COMPUTED_VALUE"""),45308.4492656134)</f>
        <v>45308.449265613403</v>
      </c>
      <c r="B586" s="1" t="str">
        <f ca="1">IFERROR(__xludf.DUMMYFUNCTION("""COMPUTED_VALUE"""),"CEC")</f>
        <v>CEC</v>
      </c>
      <c r="C586" s="1" t="str">
        <f ca="1">IFERROR(__xludf.DUMMYFUNCTION("""COMPUTED_VALUE"""),"jf180504926th")</f>
        <v>jf180504926th</v>
      </c>
      <c r="D586" s="1" t="str">
        <f ca="1">IFERROR(__xludf.DUMMYFUNCTION("""COMPUTED_VALUE"""),"ปาริตา พูล")</f>
        <v>ปาริตา พูล</v>
      </c>
      <c r="E586" s="1" t="str">
        <f ca="1">IFERROR(__xludf.DUMMYFUNCTION("""COMPUTED_VALUE"""),"065-4650097")</f>
        <v>065-4650097</v>
      </c>
      <c r="F586" s="1" t="str">
        <f ca="1">IFERROR(__xludf.DUMMYFUNCTION("""COMPUTED_VALUE"""),"418/160 นิรันดร์คอนโด ตึก อาร์ พึ่งมี 50")</f>
        <v>418/160 นิรันดร์คอนโด ตึก อาร์ พึ่งมี 50</v>
      </c>
      <c r="G586" s="1" t="str">
        <f ca="1">IFERROR(__xludf.DUMMYFUNCTION("""COMPUTED_VALUE"""),"นำจ่ายใหม่")</f>
        <v>นำจ่ายใหม่</v>
      </c>
      <c r="H586" s="1" t="str">
        <f ca="1">IFERROR(__xludf.DUMMYFUNCTION("""COMPUTED_VALUE"""),"COD.199 บาท")</f>
        <v>COD.199 บาท</v>
      </c>
      <c r="I586" s="1" t="str">
        <f ca="1">IFERROR(__xludf.DUMMYFUNCTION("""COMPUTED_VALUE"""),"-")</f>
        <v>-</v>
      </c>
      <c r="J586" s="1" t="str">
        <f ca="1">IFERROR(__xludf.DUMMYFUNCTION("""COMPUTED_VALUE"""),"DB3")</f>
        <v>DB3</v>
      </c>
      <c r="K586" s="1" t="str">
        <f ca="1">IFERROR(__xludf.DUMMYFUNCTION("""COMPUTED_VALUE"""),"ems10260evd3006")</f>
        <v>ems10260evd3006</v>
      </c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 ht="15.75" customHeight="1" x14ac:dyDescent="0.2">
      <c r="A587" s="8">
        <f ca="1">IFERROR(__xludf.DUMMYFUNCTION("""COMPUTED_VALUE"""),45308.4572099884)</f>
        <v>45308.457209988403</v>
      </c>
      <c r="B587" s="1" t="str">
        <f ca="1">IFERROR(__xludf.DUMMYFUNCTION("""COMPUTED_VALUE"""),"CEC")</f>
        <v>CEC</v>
      </c>
      <c r="C587" s="1" t="str">
        <f ca="1">IFERROR(__xludf.DUMMYFUNCTION("""COMPUTED_VALUE"""),"em535976660th")</f>
        <v>em535976660th</v>
      </c>
      <c r="D587" s="1" t="str">
        <f ca="1">IFERROR(__xludf.DUMMYFUNCTION("""COMPUTED_VALUE"""),"แหม่ม")</f>
        <v>แหม่ม</v>
      </c>
      <c r="E587" s="1" t="str">
        <f ca="1">IFERROR(__xludf.DUMMYFUNCTION("""COMPUTED_VALUE"""),"063-3875049")</f>
        <v>063-3875049</v>
      </c>
      <c r="F587" s="1" t="str">
        <f ca="1">IFERROR(__xludf.DUMMYFUNCTION("""COMPUTED_VALUE"""),"6 ซ.ปุณณวิถี 24 สุขุมวิท 101")</f>
        <v>6 ซ.ปุณณวิถี 24 สุขุมวิท 101</v>
      </c>
      <c r="G587" s="1" t="str">
        <f ca="1">IFERROR(__xludf.DUMMYFUNCTION("""COMPUTED_VALUE"""),"นำจ่ายใหม่")</f>
        <v>นำจ่ายใหม่</v>
      </c>
      <c r="H587" s="1" t="str">
        <f ca="1">IFERROR(__xludf.DUMMYFUNCTION("""COMPUTED_VALUE"""),"COD.1850 บาท")</f>
        <v>COD.1850 บาท</v>
      </c>
      <c r="I587" s="1" t="str">
        <f ca="1">IFERROR(__xludf.DUMMYFUNCTION("""COMPUTED_VALUE"""),"-")</f>
        <v>-</v>
      </c>
      <c r="J587" s="1" t="str">
        <f ca="1">IFERROR(__xludf.DUMMYFUNCTION("""COMPUTED_VALUE"""),"DB3")</f>
        <v>DB3</v>
      </c>
      <c r="K587" s="1" t="str">
        <f ca="1">IFERROR(__xludf.DUMMYFUNCTION("""COMPUTED_VALUE"""),"ems10260evd3020")</f>
        <v>ems10260evd3020</v>
      </c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 ht="15.75" customHeight="1" x14ac:dyDescent="0.2">
      <c r="A588" s="8">
        <f ca="1">IFERROR(__xludf.DUMMYFUNCTION("""COMPUTED_VALUE"""),45308.519743287)</f>
        <v>45308.519743286997</v>
      </c>
      <c r="B588" s="1" t="str">
        <f ca="1">IFERROR(__xludf.DUMMYFUNCTION("""COMPUTED_VALUE"""),"CEC")</f>
        <v>CEC</v>
      </c>
      <c r="C588" s="1" t="str">
        <f ca="1">IFERROR(__xludf.DUMMYFUNCTION("""COMPUTED_VALUE"""),"jf174609370th")</f>
        <v>jf174609370th</v>
      </c>
      <c r="D588" s="1" t="str">
        <f ca="1">IFERROR(__xludf.DUMMYFUNCTION("""COMPUTED_VALUE"""),"กันยารัตน์ ")</f>
        <v xml:space="preserve">กันยารัตน์ </v>
      </c>
      <c r="E588" s="1" t="str">
        <f ca="1">IFERROR(__xludf.DUMMYFUNCTION("""COMPUTED_VALUE"""),"090-9615425")</f>
        <v>090-9615425</v>
      </c>
      <c r="F588" s="1" t="str">
        <f ca="1">IFERROR(__xludf.DUMMYFUNCTION("""COMPUTED_VALUE"""),"379 ซ.ปุณณวิถี 9 สุขุมวิท 101")</f>
        <v>379 ซ.ปุณณวิถี 9 สุขุมวิท 101</v>
      </c>
      <c r="G588" s="1" t="str">
        <f ca="1">IFERROR(__xludf.DUMMYFUNCTION("""COMPUTED_VALUE"""),"นำจ่ายใหม่")</f>
        <v>นำจ่ายใหม่</v>
      </c>
      <c r="H588" s="1" t="str">
        <f ca="1">IFERROR(__xludf.DUMMYFUNCTION("""COMPUTED_VALUE"""),"COD.990 บาท")</f>
        <v>COD.990 บาท</v>
      </c>
      <c r="I588" s="1" t="str">
        <f ca="1">IFERROR(__xludf.DUMMYFUNCTION("""COMPUTED_VALUE"""),"-")</f>
        <v>-</v>
      </c>
      <c r="J588" s="1" t="str">
        <f ca="1">IFERROR(__xludf.DUMMYFUNCTION("""COMPUTED_VALUE"""),"DB3")</f>
        <v>DB3</v>
      </c>
      <c r="K588" s="1" t="str">
        <f ca="1">IFERROR(__xludf.DUMMYFUNCTION("""COMPUTED_VALUE"""),"ems10260evd3014")</f>
        <v>ems10260evd3014</v>
      </c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 ht="15.75" customHeight="1" x14ac:dyDescent="0.2">
      <c r="A589" s="8">
        <f ca="1">IFERROR(__xludf.DUMMYFUNCTION("""COMPUTED_VALUE"""),45308.5888408449)</f>
        <v>45308.588840844903</v>
      </c>
      <c r="B589" s="1" t="str">
        <f ca="1">IFERROR(__xludf.DUMMYFUNCTION("""COMPUTED_VALUE"""),"CEC")</f>
        <v>CEC</v>
      </c>
      <c r="C589" s="1" t="str">
        <f ca="1">IFERROR(__xludf.DUMMYFUNCTION("""COMPUTED_VALUE"""),"en517592986th")</f>
        <v>en517592986th</v>
      </c>
      <c r="D589" s="1" t="str">
        <f ca="1">IFERROR(__xludf.DUMMYFUNCTION("""COMPUTED_VALUE"""),"รัชนีกร")</f>
        <v>รัชนีกร</v>
      </c>
      <c r="E589" s="1" t="str">
        <f ca="1">IFERROR(__xludf.DUMMYFUNCTION("""COMPUTED_VALUE"""),"087-6940006")</f>
        <v>087-6940006</v>
      </c>
      <c r="F589" s="1" t="str">
        <f ca="1">IFERROR(__xludf.DUMMYFUNCTION("""COMPUTED_VALUE"""),"5/388 ซ.พึ่งมี 50 แยก 16 ซ.93")</f>
        <v>5/388 ซ.พึ่งมี 50 แยก 16 ซ.93</v>
      </c>
      <c r="G589" s="1" t="str">
        <f ca="1">IFERROR(__xludf.DUMMYFUNCTION("""COMPUTED_VALUE"""),"นำจ่ายใหม่")</f>
        <v>นำจ่ายใหม่</v>
      </c>
      <c r="H589" s="1" t="str">
        <f ca="1">IFERROR(__xludf.DUMMYFUNCTION("""COMPUTED_VALUE"""),"COD.400 บาท")</f>
        <v>COD.400 บาท</v>
      </c>
      <c r="I589" s="1" t="str">
        <f ca="1">IFERROR(__xludf.DUMMYFUNCTION("""COMPUTED_VALUE"""),"-")</f>
        <v>-</v>
      </c>
      <c r="J589" s="1" t="str">
        <f ca="1">IFERROR(__xludf.DUMMYFUNCTION("""COMPUTED_VALUE"""),"DB3")</f>
        <v>DB3</v>
      </c>
      <c r="K589" s="1" t="str">
        <f ca="1">IFERROR(__xludf.DUMMYFUNCTION("""COMPUTED_VALUE"""),"ems10260evd3007")</f>
        <v>ems10260evd3007</v>
      </c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 ht="15.75" customHeight="1" x14ac:dyDescent="0.2">
      <c r="A590" s="8">
        <f ca="1">IFERROR(__xludf.DUMMYFUNCTION("""COMPUTED_VALUE"""),45308.6317168055)</f>
        <v>45308.631716805503</v>
      </c>
      <c r="B590" s="1" t="str">
        <f ca="1">IFERROR(__xludf.DUMMYFUNCTION("""COMPUTED_VALUE"""),"CEC")</f>
        <v>CEC</v>
      </c>
      <c r="C590" s="1" t="str">
        <f ca="1">IFERROR(__xludf.DUMMYFUNCTION("""COMPUTED_VALUE"""),"ed249008739th")</f>
        <v>ed249008739th</v>
      </c>
      <c r="D590" s="1" t="str">
        <f ca="1">IFERROR(__xludf.DUMMYFUNCTION("""COMPUTED_VALUE"""),"อดิสรณ์")</f>
        <v>อดิสรณ์</v>
      </c>
      <c r="E590" s="1" t="str">
        <f ca="1">IFERROR(__xludf.DUMMYFUNCTION("""COMPUTED_VALUE"""),"083-8596451")</f>
        <v>083-8596451</v>
      </c>
      <c r="F590" s="1" t="str">
        <f ca="1">IFERROR(__xludf.DUMMYFUNCTION("""COMPUTED_VALUE"""),"24/55 แฟลตทหารเรือบางนา สรรพาวุธ")</f>
        <v>24/55 แฟลตทหารเรือบางนา สรรพาวุธ</v>
      </c>
      <c r="G590" s="1" t="str">
        <f ca="1">IFERROR(__xludf.DUMMYFUNCTION("""COMPUTED_VALUE"""),"ตรวจสอบการนำจ่าย")</f>
        <v>ตรวจสอบการนำจ่าย</v>
      </c>
      <c r="H590" s="1" t="str">
        <f ca="1">IFERROR(__xludf.DUMMYFUNCTION("""COMPUTED_VALUE"""),"-")</f>
        <v>-</v>
      </c>
      <c r="I590" s="1" t="str">
        <f ca="1">IFERROR(__xludf.DUMMYFUNCTION("""COMPUTED_VALUE"""),"-")</f>
        <v>-</v>
      </c>
      <c r="J590" s="1" t="str">
        <f ca="1">IFERROR(__xludf.DUMMYFUNCTION("""COMPUTED_VALUE"""),"นำจ่ายรถยนต์")</f>
        <v>นำจ่ายรถยนต์</v>
      </c>
      <c r="K590" s="1" t="str">
        <f ca="1">IFERROR(__xludf.DUMMYFUNCTION("""COMPUTED_VALUE"""),"car10260evd5003")</f>
        <v>car10260evd5003</v>
      </c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 ht="15.75" customHeight="1" x14ac:dyDescent="0.2">
      <c r="A591" s="8">
        <f ca="1">IFERROR(__xludf.DUMMYFUNCTION("""COMPUTED_VALUE"""),45308.6877684606)</f>
        <v>45308.687768460601</v>
      </c>
      <c r="B591" s="1" t="str">
        <f ca="1">IFERROR(__xludf.DUMMYFUNCTION("""COMPUTED_VALUE"""),"CEC")</f>
        <v>CEC</v>
      </c>
      <c r="C591" s="1" t="str">
        <f ca="1">IFERROR(__xludf.DUMMYFUNCTION("""COMPUTED_VALUE"""),"ed248291078th")</f>
        <v>ed248291078th</v>
      </c>
      <c r="D591" s="1" t="str">
        <f ca="1">IFERROR(__xludf.DUMMYFUNCTION("""COMPUTED_VALUE"""),"กฤษฏา")</f>
        <v>กฤษฏา</v>
      </c>
      <c r="E591" s="1" t="str">
        <f ca="1">IFERROR(__xludf.DUMMYFUNCTION("""COMPUTED_VALUE"""),"087-0852785")</f>
        <v>087-0852785</v>
      </c>
      <c r="F591" s="1" t="str">
        <f ca="1">IFERROR(__xludf.DUMMYFUNCTION("""COMPUTED_VALUE"""),"1198/21 คอนโดเดอะเบส สุขุมวิท 50")</f>
        <v>1198/21 คอนโดเดอะเบส สุขุมวิท 50</v>
      </c>
      <c r="G591" s="1" t="str">
        <f ca="1">IFERROR(__xludf.DUMMYFUNCTION("""COMPUTED_VALUE"""),"ตรวจสอบการนำจ่าย")</f>
        <v>ตรวจสอบการนำจ่าย</v>
      </c>
      <c r="H591" s="1" t="str">
        <f ca="1">IFERROR(__xludf.DUMMYFUNCTION("""COMPUTED_VALUE"""),"-")</f>
        <v>-</v>
      </c>
      <c r="I591" s="1" t="str">
        <f ca="1">IFERROR(__xludf.DUMMYFUNCTION("""COMPUTED_VALUE"""),"-")</f>
        <v>-</v>
      </c>
      <c r="J591" s="1" t="str">
        <f ca="1">IFERROR(__xludf.DUMMYFUNCTION("""COMPUTED_VALUE"""),"นำจ่ายรถยนต์")</f>
        <v>นำจ่ายรถยนต์</v>
      </c>
      <c r="K591" s="1" t="str">
        <f ca="1">IFERROR(__xludf.DUMMYFUNCTION("""COMPUTED_VALUE"""),"car10260evd5002")</f>
        <v>car10260evd5002</v>
      </c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 ht="15.75" customHeight="1" x14ac:dyDescent="0.2">
      <c r="A592" s="8">
        <f ca="1">IFERROR(__xludf.DUMMYFUNCTION("""COMPUTED_VALUE"""),45308.6889788425)</f>
        <v>45308.688978842503</v>
      </c>
      <c r="B592" s="1" t="str">
        <f ca="1">IFERROR(__xludf.DUMMYFUNCTION("""COMPUTED_VALUE"""),"CEC")</f>
        <v>CEC</v>
      </c>
      <c r="C592" s="1" t="str">
        <f ca="1">IFERROR(__xludf.DUMMYFUNCTION("""COMPUTED_VALUE"""),"ed693962420th")</f>
        <v>ed693962420th</v>
      </c>
      <c r="D592" s="1" t="str">
        <f ca="1">IFERROR(__xludf.DUMMYFUNCTION("""COMPUTED_VALUE"""),"-")</f>
        <v>-</v>
      </c>
      <c r="E592" s="1" t="str">
        <f ca="1">IFERROR(__xludf.DUMMYFUNCTION("""COMPUTED_VALUE"""),"088-6609090")</f>
        <v>088-6609090</v>
      </c>
      <c r="F592" s="1" t="str">
        <f ca="1">IFERROR(__xludf.DUMMYFUNCTION("""COMPUTED_VALUE"""),"บ.ทีนอ๊อฟทิค ฯ อาคารทูรดิติตอล ปาร์ค")</f>
        <v>บ.ทีนอ๊อฟทิค ฯ อาคารทูรดิติตอล ปาร์ค</v>
      </c>
      <c r="G592" s="1" t="str">
        <f ca="1">IFERROR(__xludf.DUMMYFUNCTION("""COMPUTED_VALUE"""),"ตรวจสอบการนำจ่าย")</f>
        <v>ตรวจสอบการนำจ่าย</v>
      </c>
      <c r="H592" s="1" t="str">
        <f ca="1">IFERROR(__xludf.DUMMYFUNCTION("""COMPUTED_VALUE"""),"-")</f>
        <v>-</v>
      </c>
      <c r="I592" s="1" t="str">
        <f ca="1">IFERROR(__xludf.DUMMYFUNCTION("""COMPUTED_VALUE"""),"-")</f>
        <v>-</v>
      </c>
      <c r="J592" s="1" t="str">
        <f ca="1">IFERROR(__xludf.DUMMYFUNCTION("""COMPUTED_VALUE"""),"DB3")</f>
        <v>DB3</v>
      </c>
      <c r="K592" s="1" t="str">
        <f ca="1">IFERROR(__xludf.DUMMYFUNCTION("""COMPUTED_VALUE"""),"zne10260evd3004")</f>
        <v>zne10260evd3004</v>
      </c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 ht="15.75" customHeight="1" x14ac:dyDescent="0.2">
      <c r="A593" s="8">
        <f ca="1">IFERROR(__xludf.DUMMYFUNCTION("""COMPUTED_VALUE"""),45308.6900430439)</f>
        <v>45308.690043043898</v>
      </c>
      <c r="B593" s="1" t="str">
        <f ca="1">IFERROR(__xludf.DUMMYFUNCTION("""COMPUTED_VALUE"""),"CEC")</f>
        <v>CEC</v>
      </c>
      <c r="C593" s="1" t="str">
        <f ca="1">IFERROR(__xludf.DUMMYFUNCTION("""COMPUTED_VALUE"""),"ea694015422th")</f>
        <v>ea694015422th</v>
      </c>
      <c r="D593" s="1" t="str">
        <f ca="1">IFERROR(__xludf.DUMMYFUNCTION("""COMPUTED_VALUE"""),"-")</f>
        <v>-</v>
      </c>
      <c r="E593" s="1" t="str">
        <f ca="1">IFERROR(__xludf.DUMMYFUNCTION("""COMPUTED_VALUE"""),"088-6609090")</f>
        <v>088-6609090</v>
      </c>
      <c r="F593" s="1" t="str">
        <f ca="1">IFERROR(__xludf.DUMMYFUNCTION("""COMPUTED_VALUE"""),"บ.ทีนอ๊อฟทิค อาคารทูรดิติตอล ปาร์ค")</f>
        <v>บ.ทีนอ๊อฟทิค อาคารทูรดิติตอล ปาร์ค</v>
      </c>
      <c r="G593" s="1" t="str">
        <f ca="1">IFERROR(__xludf.DUMMYFUNCTION("""COMPUTED_VALUE"""),"ตรวจสอบการนำจ่าย")</f>
        <v>ตรวจสอบการนำจ่าย</v>
      </c>
      <c r="H593" s="1" t="str">
        <f ca="1">IFERROR(__xludf.DUMMYFUNCTION("""COMPUTED_VALUE"""),"-")</f>
        <v>-</v>
      </c>
      <c r="I593" s="1" t="str">
        <f ca="1">IFERROR(__xludf.DUMMYFUNCTION("""COMPUTED_VALUE"""),"-")</f>
        <v>-</v>
      </c>
      <c r="J593" s="1" t="str">
        <f ca="1">IFERROR(__xludf.DUMMYFUNCTION("""COMPUTED_VALUE"""),"DB3")</f>
        <v>DB3</v>
      </c>
      <c r="K593" s="1" t="str">
        <f ca="1">IFERROR(__xludf.DUMMYFUNCTION("""COMPUTED_VALUE"""),"zne10260evd3004")</f>
        <v>zne10260evd3004</v>
      </c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 ht="15.75" customHeight="1" x14ac:dyDescent="0.2">
      <c r="A594" s="8">
        <f ca="1">IFERROR(__xludf.DUMMYFUNCTION("""COMPUTED_VALUE"""),45308.6908034722)</f>
        <v>45308.6908034722</v>
      </c>
      <c r="B594" s="1" t="str">
        <f ca="1">IFERROR(__xludf.DUMMYFUNCTION("""COMPUTED_VALUE"""),"CEC")</f>
        <v>CEC</v>
      </c>
      <c r="C594" s="1" t="str">
        <f ca="1">IFERROR(__xludf.DUMMYFUNCTION("""COMPUTED_VALUE"""),"ea694013188th")</f>
        <v>ea694013188th</v>
      </c>
      <c r="D594" s="1" t="str">
        <f ca="1">IFERROR(__xludf.DUMMYFUNCTION("""COMPUTED_VALUE"""),"-")</f>
        <v>-</v>
      </c>
      <c r="E594" s="1" t="str">
        <f ca="1">IFERROR(__xludf.DUMMYFUNCTION("""COMPUTED_VALUE"""),"088-6609090")</f>
        <v>088-6609090</v>
      </c>
      <c r="F594" s="1" t="str">
        <f ca="1">IFERROR(__xludf.DUMMYFUNCTION("""COMPUTED_VALUE"""),"บ.ทีนอีอฟทิค อาคารทูรดิติตอล ปาร์ค")</f>
        <v>บ.ทีนอีอฟทิค อาคารทูรดิติตอล ปาร์ค</v>
      </c>
      <c r="G594" s="1" t="str">
        <f ca="1">IFERROR(__xludf.DUMMYFUNCTION("""COMPUTED_VALUE"""),"ตรวจสอบการนำจ่าย")</f>
        <v>ตรวจสอบการนำจ่าย</v>
      </c>
      <c r="H594" s="1" t="str">
        <f ca="1">IFERROR(__xludf.DUMMYFUNCTION("""COMPUTED_VALUE"""),"-")</f>
        <v>-</v>
      </c>
      <c r="I594" s="1" t="str">
        <f ca="1">IFERROR(__xludf.DUMMYFUNCTION("""COMPUTED_VALUE"""),"-")</f>
        <v>-</v>
      </c>
      <c r="J594" s="1" t="str">
        <f ca="1">IFERROR(__xludf.DUMMYFUNCTION("""COMPUTED_VALUE"""),"DB3")</f>
        <v>DB3</v>
      </c>
      <c r="K594" s="1" t="str">
        <f ca="1">IFERROR(__xludf.DUMMYFUNCTION("""COMPUTED_VALUE"""),"zne10260evd3004")</f>
        <v>zne10260evd3004</v>
      </c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 ht="15.75" customHeight="1" x14ac:dyDescent="0.2">
      <c r="A595" s="8">
        <f ca="1">IFERROR(__xludf.DUMMYFUNCTION("""COMPUTED_VALUE"""),45309.4361450925)</f>
        <v>45309.436145092499</v>
      </c>
      <c r="B595" s="1" t="str">
        <f ca="1">IFERROR(__xludf.DUMMYFUNCTION("""COMPUTED_VALUE"""),"CEC")</f>
        <v>CEC</v>
      </c>
      <c r="C595" s="1" t="str">
        <f ca="1">IFERROR(__xludf.DUMMYFUNCTION("""COMPUTED_VALUE"""),"eb536847406th")</f>
        <v>eb536847406th</v>
      </c>
      <c r="D595" s="1" t="str">
        <f ca="1">IFERROR(__xludf.DUMMYFUNCTION("""COMPUTED_VALUE"""),"พรชัย")</f>
        <v>พรชัย</v>
      </c>
      <c r="E595" s="1" t="str">
        <f ca="1">IFERROR(__xludf.DUMMYFUNCTION("""COMPUTED_VALUE"""),"086-3385382")</f>
        <v>086-3385382</v>
      </c>
      <c r="F595" s="1" t="str">
        <f ca="1">IFERROR(__xludf.DUMMYFUNCTION("""COMPUTED_VALUE"""),"5 นิรันดร์วิลล่า ตึก ดี ชั่น5")</f>
        <v>5 นิรันดร์วิลล่า ตึก ดี ชั่น5</v>
      </c>
      <c r="G595" s="1" t="str">
        <f ca="1">IFERROR(__xludf.DUMMYFUNCTION("""COMPUTED_VALUE"""),"ตรวจสอบการนำจ่าย")</f>
        <v>ตรวจสอบการนำจ่าย</v>
      </c>
      <c r="H595" s="1" t="str">
        <f ca="1">IFERROR(__xludf.DUMMYFUNCTION("""COMPUTED_VALUE"""),"-")</f>
        <v>-</v>
      </c>
      <c r="I595" s="1" t="str">
        <f ca="1">IFERROR(__xludf.DUMMYFUNCTION("""COMPUTED_VALUE"""),"-")</f>
        <v>-</v>
      </c>
      <c r="J595" s="1" t="str">
        <f ca="1">IFERROR(__xludf.DUMMYFUNCTION("""COMPUTED_VALUE"""),"DB3")</f>
        <v>DB3</v>
      </c>
      <c r="K595" s="1" t="str">
        <f ca="1">IFERROR(__xludf.DUMMYFUNCTION("""COMPUTED_VALUE"""),"ems10260evd3005")</f>
        <v>ems10260evd3005</v>
      </c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 ht="15.75" customHeight="1" x14ac:dyDescent="0.2">
      <c r="A596" s="8">
        <f ca="1">IFERROR(__xludf.DUMMYFUNCTION("""COMPUTED_VALUE"""),45309.4521550925)</f>
        <v>45309.452155092498</v>
      </c>
      <c r="B596" s="1" t="str">
        <f ca="1">IFERROR(__xludf.DUMMYFUNCTION("""COMPUTED_VALUE"""),"On Queue")</f>
        <v>On Queue</v>
      </c>
      <c r="C596" s="1" t="str">
        <f ca="1">IFERROR(__xludf.DUMMYFUNCTION("""COMPUTED_VALUE"""),"ed190908284th")</f>
        <v>ed190908284th</v>
      </c>
      <c r="D596" s="1" t="str">
        <f ca="1">IFERROR(__xludf.DUMMYFUNCTION("""COMPUTED_VALUE"""),"สุปราณี")</f>
        <v>สุปราณี</v>
      </c>
      <c r="E596" s="1" t="str">
        <f ca="1">IFERROR(__xludf.DUMMYFUNCTION("""COMPUTED_VALUE"""),"062-3828932")</f>
        <v>062-3828932</v>
      </c>
      <c r="F596" s="1" t="str">
        <f ca="1">IFERROR(__xludf.DUMMYFUNCTION("""COMPUTED_VALUE"""),"1603 บ้านสนุทรธรรม ซ.สาธิต ซ.2")</f>
        <v>1603 บ้านสนุทรธรรม ซ.สาธิต ซ.2</v>
      </c>
      <c r="G596" s="1" t="str">
        <f ca="1">IFERROR(__xludf.DUMMYFUNCTION("""COMPUTED_VALUE"""),"นำจ่ายใหม่")</f>
        <v>นำจ่ายใหม่</v>
      </c>
      <c r="H596" s="1" t="str">
        <f ca="1">IFERROR(__xludf.DUMMYFUNCTION("""COMPUTED_VALUE"""),"-")</f>
        <v>-</v>
      </c>
      <c r="I596" s="1" t="str">
        <f ca="1">IFERROR(__xludf.DUMMYFUNCTION("""COMPUTED_VALUE"""),"-")</f>
        <v>-</v>
      </c>
      <c r="J596" s="1" t="str">
        <f ca="1">IFERROR(__xludf.DUMMYFUNCTION("""COMPUTED_VALUE"""),"นำจ่ายรถยนต์")</f>
        <v>นำจ่ายรถยนต์</v>
      </c>
      <c r="K596" s="1" t="str">
        <f ca="1">IFERROR(__xludf.DUMMYFUNCTION("""COMPUTED_VALUE"""),"ema10260evd5013")</f>
        <v>ema10260evd5013</v>
      </c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 ht="15.75" customHeight="1" x14ac:dyDescent="0.2">
      <c r="A597" s="8">
        <f ca="1">IFERROR(__xludf.DUMMYFUNCTION("""COMPUTED_VALUE"""),45309.4757373379)</f>
        <v>45309.475737337903</v>
      </c>
      <c r="B597" s="1" t="str">
        <f ca="1">IFERROR(__xludf.DUMMYFUNCTION("""COMPUTED_VALUE"""),"CEC")</f>
        <v>CEC</v>
      </c>
      <c r="C597" s="1" t="str">
        <f ca="1">IFERROR(__xludf.DUMMYFUNCTION("""COMPUTED_VALUE"""),"ri933761485th")</f>
        <v>ri933761485th</v>
      </c>
      <c r="D597" s="1" t="str">
        <f ca="1">IFERROR(__xludf.DUMMYFUNCTION("""COMPUTED_VALUE"""),"sumitra")</f>
        <v>sumitra</v>
      </c>
      <c r="E597" s="1" t="str">
        <f ca="1">IFERROR(__xludf.DUMMYFUNCTION("""COMPUTED_VALUE"""),"083-4808373")</f>
        <v>083-4808373</v>
      </c>
      <c r="F597" s="1" t="str">
        <f ca="1">IFERROR(__xludf.DUMMYFUNCTION("""COMPUTED_VALUE"""),"3322 เต้นน้ำเงินช่างมัด วัดบางนาใน สรรพาวุธ ซ.1")</f>
        <v>3322 เต้นน้ำเงินช่างมัด วัดบางนาใน สรรพาวุธ ซ.1</v>
      </c>
      <c r="G597" s="1" t="str">
        <f ca="1">IFERROR(__xludf.DUMMYFUNCTION("""COMPUTED_VALUE"""),"นำจ่ายใหม่")</f>
        <v>นำจ่ายใหม่</v>
      </c>
      <c r="H597" s="1" t="str">
        <f ca="1">IFERROR(__xludf.DUMMYFUNCTION("""COMPUTED_VALUE"""),"-")</f>
        <v>-</v>
      </c>
      <c r="I597" s="1" t="str">
        <f ca="1">IFERROR(__xludf.DUMMYFUNCTION("""COMPUTED_VALUE"""),"-")</f>
        <v>-</v>
      </c>
      <c r="J597" s="1" t="str">
        <f ca="1">IFERROR(__xludf.DUMMYFUNCTION("""COMPUTED_VALUE"""),"DB1")</f>
        <v>DB1</v>
      </c>
      <c r="K597" s="1" t="str">
        <f ca="1">IFERROR(__xludf.DUMMYFUNCTION("""COMPUTED_VALUE"""),"ems10260evd1004")</f>
        <v>ems10260evd1004</v>
      </c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 ht="15.75" customHeight="1" x14ac:dyDescent="0.2">
      <c r="A598" s="8">
        <f ca="1">IFERROR(__xludf.DUMMYFUNCTION("""COMPUTED_VALUE"""),45309.4770179166)</f>
        <v>45309.477017916601</v>
      </c>
      <c r="B598" s="1" t="str">
        <f ca="1">IFERROR(__xludf.DUMMYFUNCTION("""COMPUTED_VALUE"""),"CEC")</f>
        <v>CEC</v>
      </c>
      <c r="C598" s="1" t="str">
        <f ca="1">IFERROR(__xludf.DUMMYFUNCTION("""COMPUTED_VALUE"""),"re670988707th")</f>
        <v>re670988707th</v>
      </c>
      <c r="D598" s="1" t="str">
        <f ca="1">IFERROR(__xludf.DUMMYFUNCTION("""COMPUTED_VALUE"""),"ณัฐวดี")</f>
        <v>ณัฐวดี</v>
      </c>
      <c r="E598" s="1" t="str">
        <f ca="1">IFERROR(__xludf.DUMMYFUNCTION("""COMPUTED_VALUE"""),"085-1106810")</f>
        <v>085-1106810</v>
      </c>
      <c r="F598" s="1" t="str">
        <f ca="1">IFERROR(__xludf.DUMMYFUNCTION("""COMPUTED_VALUE"""),"339 บ้านพักกระทรวงกลาโหม สรรพาวุธ")</f>
        <v>339 บ้านพักกระทรวงกลาโหม สรรพาวุธ</v>
      </c>
      <c r="G598" s="1" t="str">
        <f ca="1">IFERROR(__xludf.DUMMYFUNCTION("""COMPUTED_VALUE"""),"นำจ่ายใหม่")</f>
        <v>นำจ่ายใหม่</v>
      </c>
      <c r="H598" s="1" t="str">
        <f ca="1">IFERROR(__xludf.DUMMYFUNCTION("""COMPUTED_VALUE"""),"-")</f>
        <v>-</v>
      </c>
      <c r="I598" s="1" t="str">
        <f ca="1">IFERROR(__xludf.DUMMYFUNCTION("""COMPUTED_VALUE"""),"-")</f>
        <v>-</v>
      </c>
      <c r="J598" s="1" t="str">
        <f ca="1">IFERROR(__xludf.DUMMYFUNCTION("""COMPUTED_VALUE"""),"DB4")</f>
        <v>DB4</v>
      </c>
      <c r="K598" s="1" t="str">
        <f ca="1">IFERROR(__xludf.DUMMYFUNCTION("""COMPUTED_VALUE"""),"ems10260evd4001")</f>
        <v>ems10260evd4001</v>
      </c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 ht="15.75" customHeight="1" x14ac:dyDescent="0.2">
      <c r="A599" s="8">
        <f ca="1">IFERROR(__xludf.DUMMYFUNCTION("""COMPUTED_VALUE"""),45309.4789830092)</f>
        <v>45309.478983009198</v>
      </c>
      <c r="B599" s="1" t="str">
        <f ca="1">IFERROR(__xludf.DUMMYFUNCTION("""COMPUTED_VALUE"""),"CEC")</f>
        <v>CEC</v>
      </c>
      <c r="C599" s="1" t="str">
        <f ca="1">IFERROR(__xludf.DUMMYFUNCTION("""COMPUTED_VALUE"""),"rn036769360jp")</f>
        <v>rn036769360jp</v>
      </c>
      <c r="D599" s="1" t="str">
        <f ca="1">IFERROR(__xludf.DUMMYFUNCTION("""COMPUTED_VALUE"""),"นนท์ณภัทร")</f>
        <v>นนท์ณภัทร</v>
      </c>
      <c r="E599" s="1" t="str">
        <f ca="1">IFERROR(__xludf.DUMMYFUNCTION("""COMPUTED_VALUE"""),"086-3064666")</f>
        <v>086-3064666</v>
      </c>
      <c r="F599" s="1" t="str">
        <f ca="1">IFERROR(__xludf.DUMMYFUNCTION("""COMPUTED_VALUE"""),"199/736 น้อตติ้งฮิลล์คอนโด ซ.105")</f>
        <v>199/736 น้อตติ้งฮิลล์คอนโด ซ.105</v>
      </c>
      <c r="G599" s="1" t="str">
        <f ca="1">IFERROR(__xludf.DUMMYFUNCTION("""COMPUTED_VALUE"""),"ตรวจสอบการนำจ่าย")</f>
        <v>ตรวจสอบการนำจ่าย</v>
      </c>
      <c r="H599" s="1" t="str">
        <f ca="1">IFERROR(__xludf.DUMMYFUNCTION("""COMPUTED_VALUE"""),"นำจ่ายแล้ว")</f>
        <v>นำจ่ายแล้ว</v>
      </c>
      <c r="I599" s="1" t="str">
        <f ca="1">IFERROR(__xludf.DUMMYFUNCTION("""COMPUTED_VALUE"""),"-")</f>
        <v>-</v>
      </c>
      <c r="J599" s="1" t="str">
        <f ca="1">IFERROR(__xludf.DUMMYFUNCTION("""COMPUTED_VALUE"""),"นำจ่ายรถยนต์")</f>
        <v>นำจ่ายรถยนต์</v>
      </c>
      <c r="K599" s="1" t="str">
        <f ca="1">IFERROR(__xludf.DUMMYFUNCTION("""COMPUTED_VALUE"""),"car10260ems5005")</f>
        <v>car10260ems5005</v>
      </c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 ht="15.75" customHeight="1" x14ac:dyDescent="0.2">
      <c r="A600" s="8">
        <f ca="1">IFERROR(__xludf.DUMMYFUNCTION("""COMPUTED_VALUE"""),45309.5715488541)</f>
        <v>45309.571548854103</v>
      </c>
      <c r="B600" s="1" t="str">
        <f ca="1">IFERROR(__xludf.DUMMYFUNCTION("""COMPUTED_VALUE"""),"CEC")</f>
        <v>CEC</v>
      </c>
      <c r="C600" s="1" t="str">
        <f ca="1">IFERROR(__xludf.DUMMYFUNCTION("""COMPUTED_VALUE"""),"en297656177jp")</f>
        <v>en297656177jp</v>
      </c>
      <c r="D600" s="1" t="str">
        <f ca="1">IFERROR(__xludf.DUMMYFUNCTION("""COMPUTED_VALUE"""),"คาซูโต๊ะ")</f>
        <v>คาซูโต๊ะ</v>
      </c>
      <c r="E600" s="1" t="str">
        <f ca="1">IFERROR(__xludf.DUMMYFUNCTION("""COMPUTED_VALUE"""),"094-5514905")</f>
        <v>094-5514905</v>
      </c>
      <c r="F600" s="1" t="str">
        <f ca="1">IFERROR(__xludf.DUMMYFUNCTION("""COMPUTED_VALUE"""),"9/441 คอนโดวิสดอสอินสปาย ซ.ปิยะบุตร ")</f>
        <v xml:space="preserve">9/441 คอนโดวิสดอสอินสปาย ซ.ปิยะบุตร </v>
      </c>
      <c r="G600" s="1" t="str">
        <f ca="1">IFERROR(__xludf.DUMMYFUNCTION("""COMPUTED_VALUE"""),"ตรวจสอบการนำจ่าย")</f>
        <v>ตรวจสอบการนำจ่าย</v>
      </c>
      <c r="H600" s="1" t="str">
        <f ca="1">IFERROR(__xludf.DUMMYFUNCTION("""COMPUTED_VALUE"""),"นำจ่ายแล้ว")</f>
        <v>นำจ่ายแล้ว</v>
      </c>
      <c r="I600" s="1" t="str">
        <f ca="1">IFERROR(__xludf.DUMMYFUNCTION("""COMPUTED_VALUE"""),"-")</f>
        <v>-</v>
      </c>
      <c r="J600" s="1" t="str">
        <f ca="1">IFERROR(__xludf.DUMMYFUNCTION("""COMPUTED_VALUE"""),"นำจ่ายรถยนต์")</f>
        <v>นำจ่ายรถยนต์</v>
      </c>
      <c r="K600" s="1" t="str">
        <f ca="1">IFERROR(__xludf.DUMMYFUNCTION("""COMPUTED_VALUE"""),"car10260ems5013")</f>
        <v>car10260ems5013</v>
      </c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 ht="15.75" customHeight="1" x14ac:dyDescent="0.2">
      <c r="A601" s="8">
        <f ca="1">IFERROR(__xludf.DUMMYFUNCTION("""COMPUTED_VALUE"""),45309.5992923263)</f>
        <v>45309.599292326297</v>
      </c>
      <c r="B601" s="1" t="str">
        <f ca="1">IFERROR(__xludf.DUMMYFUNCTION("""COMPUTED_VALUE"""),"CEC")</f>
        <v>CEC</v>
      </c>
      <c r="C601" s="1" t="str">
        <f ca="1">IFERROR(__xludf.DUMMYFUNCTION("""COMPUTED_VALUE"""),"em516607962th")</f>
        <v>em516607962th</v>
      </c>
      <c r="D601" s="1" t="str">
        <f ca="1">IFERROR(__xludf.DUMMYFUNCTION("""COMPUTED_VALUE"""),"ปัญญาวุฒิ ")</f>
        <v xml:space="preserve">ปัญญาวุฒิ </v>
      </c>
      <c r="E601" s="1" t="str">
        <f ca="1">IFERROR(__xludf.DUMMYFUNCTION("""COMPUTED_VALUE"""),"084-7043301")</f>
        <v>084-7043301</v>
      </c>
      <c r="F601" s="1" t="str">
        <f ca="1">IFERROR(__xludf.DUMMYFUNCTION("""COMPUTED_VALUE"""),"136 ซ.สุขุมวิท 95 ตึกแถว")</f>
        <v>136 ซ.สุขุมวิท 95 ตึกแถว</v>
      </c>
      <c r="G601" s="1" t="str">
        <f ca="1">IFERROR(__xludf.DUMMYFUNCTION("""COMPUTED_VALUE"""),"ตรวจสอบการนำจ่าย")</f>
        <v>ตรวจสอบการนำจ่าย</v>
      </c>
      <c r="H601" s="1" t="str">
        <f ca="1">IFERROR(__xludf.DUMMYFUNCTION("""COMPUTED_VALUE"""),"-")</f>
        <v>-</v>
      </c>
      <c r="I601" s="1" t="str">
        <f ca="1">IFERROR(__xludf.DUMMYFUNCTION("""COMPUTED_VALUE"""),"-")</f>
        <v>-</v>
      </c>
      <c r="J601" s="1" t="str">
        <f ca="1">IFERROR(__xludf.DUMMYFUNCTION("""COMPUTED_VALUE"""),"DB3")</f>
        <v>DB3</v>
      </c>
      <c r="K601" s="1" t="str">
        <f ca="1">IFERROR(__xludf.DUMMYFUNCTION("""COMPUTED_VALUE"""),"ema10260evd3002")</f>
        <v>ema10260evd3002</v>
      </c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 ht="15.75" customHeight="1" x14ac:dyDescent="0.2">
      <c r="A602" s="8">
        <f ca="1">IFERROR(__xludf.DUMMYFUNCTION("""COMPUTED_VALUE"""),45309.6007026388)</f>
        <v>45309.600702638803</v>
      </c>
      <c r="B602" s="1" t="str">
        <f ca="1">IFERROR(__xludf.DUMMYFUNCTION("""COMPUTED_VALUE"""),"CEC")</f>
        <v>CEC</v>
      </c>
      <c r="C602" s="1" t="str">
        <f ca="1">IFERROR(__xludf.DUMMYFUNCTION("""COMPUTED_VALUE"""),"ed152463275th")</f>
        <v>ed152463275th</v>
      </c>
      <c r="D602" s="1" t="str">
        <f ca="1">IFERROR(__xludf.DUMMYFUNCTION("""COMPUTED_VALUE"""),"นุ๊ก ")</f>
        <v xml:space="preserve">นุ๊ก </v>
      </c>
      <c r="E602" s="1" t="str">
        <f ca="1">IFERROR(__xludf.DUMMYFUNCTION("""COMPUTED_VALUE"""),"095-4466422")</f>
        <v>095-4466422</v>
      </c>
      <c r="F602" s="1" t="str">
        <f ca="1">IFERROR(__xludf.DUMMYFUNCTION("""COMPUTED_VALUE"""),"(1495/- ) 1499/42 คอนโดเอสเพน ซ.สุขุมวิท 105")</f>
        <v>(1495/- ) 1499/42 คอนโดเอสเพน ซ.สุขุมวิท 105</v>
      </c>
      <c r="G602" s="1" t="str">
        <f ca="1">IFERROR(__xludf.DUMMYFUNCTION("""COMPUTED_VALUE"""),"ตรวจสอบการนำจ่าย")</f>
        <v>ตรวจสอบการนำจ่าย</v>
      </c>
      <c r="H602" s="1" t="str">
        <f ca="1">IFERROR(__xludf.DUMMYFUNCTION("""COMPUTED_VALUE"""),"นำจ่ายแล้ว")</f>
        <v>นำจ่ายแล้ว</v>
      </c>
      <c r="I602" s="1" t="str">
        <f ca="1">IFERROR(__xludf.DUMMYFUNCTION("""COMPUTED_VALUE"""),"-")</f>
        <v>-</v>
      </c>
      <c r="J602" s="1" t="str">
        <f ca="1">IFERROR(__xludf.DUMMYFUNCTION("""COMPUTED_VALUE"""),"นำจ่ายรถยนต์")</f>
        <v>นำจ่ายรถยนต์</v>
      </c>
      <c r="K602" s="1" t="str">
        <f ca="1">IFERROR(__xludf.DUMMYFUNCTION("""COMPUTED_VALUE"""),"car10260evd5008")</f>
        <v>car10260evd5008</v>
      </c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 ht="15.75" customHeight="1" x14ac:dyDescent="0.2">
      <c r="A603" s="8">
        <f ca="1">IFERROR(__xludf.DUMMYFUNCTION("""COMPUTED_VALUE"""),45309.6266606828)</f>
        <v>45309.626660682799</v>
      </c>
      <c r="B603" s="1" t="str">
        <f ca="1">IFERROR(__xludf.DUMMYFUNCTION("""COMPUTED_VALUE"""),"CEC")</f>
        <v>CEC</v>
      </c>
      <c r="C603" s="1" t="str">
        <f ca="1">IFERROR(__xludf.DUMMYFUNCTION("""COMPUTED_VALUE"""),"ea920537098th")</f>
        <v>ea920537098th</v>
      </c>
      <c r="D603" s="1" t="str">
        <f ca="1">IFERROR(__xludf.DUMMYFUNCTION("""COMPUTED_VALUE"""),"สมัย")</f>
        <v>สมัย</v>
      </c>
      <c r="E603" s="1" t="str">
        <f ca="1">IFERROR(__xludf.DUMMYFUNCTION("""COMPUTED_VALUE"""),"063-4677029")</f>
        <v>063-4677029</v>
      </c>
      <c r="F603" s="1" t="str">
        <f ca="1">IFERROR(__xludf.DUMMYFUNCTION("""COMPUTED_VALUE"""),"955 โครงการเสาหลักบางนาสปริง บางนาเหือ")</f>
        <v>955 โครงการเสาหลักบางนาสปริง บางนาเหือ</v>
      </c>
      <c r="G603" s="1" t="str">
        <f ca="1">IFERROR(__xludf.DUMMYFUNCTION("""COMPUTED_VALUE"""),"นำจ่ายใหม่")</f>
        <v>นำจ่ายใหม่</v>
      </c>
      <c r="H603" s="1" t="str">
        <f ca="1">IFERROR(__xludf.DUMMYFUNCTION("""COMPUTED_VALUE"""),"COD.128 บาท")</f>
        <v>COD.128 บาท</v>
      </c>
      <c r="I603" s="1" t="str">
        <f ca="1">IFERROR(__xludf.DUMMYFUNCTION("""COMPUTED_VALUE"""),"-")</f>
        <v>-</v>
      </c>
      <c r="J603" s="1" t="str">
        <f ca="1">IFERROR(__xludf.DUMMYFUNCTION("""COMPUTED_VALUE"""),"DB2")</f>
        <v>DB2</v>
      </c>
      <c r="K603" s="1" t="str">
        <f ca="1">IFERROR(__xludf.DUMMYFUNCTION("""COMPUTED_VALUE"""),"ema10260ed2010")</f>
        <v>ema10260ed2010</v>
      </c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 ht="15.75" customHeight="1" x14ac:dyDescent="0.2">
      <c r="A604" s="8">
        <f ca="1">IFERROR(__xludf.DUMMYFUNCTION("""COMPUTED_VALUE"""),45309.6551429745)</f>
        <v>45309.655142974501</v>
      </c>
      <c r="B604" s="1" t="str">
        <f ca="1">IFERROR(__xludf.DUMMYFUNCTION("""COMPUTED_VALUE"""),"CEC")</f>
        <v>CEC</v>
      </c>
      <c r="C604" s="1" t="str">
        <f ca="1">IFERROR(__xludf.DUMMYFUNCTION("""COMPUTED_VALUE"""),"ri871721232th")</f>
        <v>ri871721232th</v>
      </c>
      <c r="D604" s="1" t="str">
        <f ca="1">IFERROR(__xludf.DUMMYFUNCTION("""COMPUTED_VALUE"""),"ณัฐติยา")</f>
        <v>ณัฐติยา</v>
      </c>
      <c r="E604" s="1" t="str">
        <f ca="1">IFERROR(__xludf.DUMMYFUNCTION("""COMPUTED_VALUE"""),"097-2099670")</f>
        <v>097-2099670</v>
      </c>
      <c r="F604" s="1" t="str">
        <f ca="1">IFERROR(__xludf.DUMMYFUNCTION("""COMPUTED_VALUE"""),"127 อพาร์ทเมนท์เดอะโรส ลาซาน 28")</f>
        <v>127 อพาร์ทเมนท์เดอะโรส ลาซาน 28</v>
      </c>
      <c r="G604" s="1" t="str">
        <f ca="1">IFERROR(__xludf.DUMMYFUNCTION("""COMPUTED_VALUE"""),"นำจ่ายใหม่")</f>
        <v>นำจ่ายใหม่</v>
      </c>
      <c r="H604" s="1" t="str">
        <f ca="1">IFERROR(__xludf.DUMMYFUNCTION("""COMPUTED_VALUE"""),"-")</f>
        <v>-</v>
      </c>
      <c r="I604" s="1" t="str">
        <f ca="1">IFERROR(__xludf.DUMMYFUNCTION("""COMPUTED_VALUE"""),"-")</f>
        <v>-</v>
      </c>
      <c r="J604" s="1" t="str">
        <f ca="1">IFERROR(__xludf.DUMMYFUNCTION("""COMPUTED_VALUE"""),"DB1")</f>
        <v>DB1</v>
      </c>
      <c r="K604" s="1" t="str">
        <f ca="1">IFERROR(__xludf.DUMMYFUNCTION("""COMPUTED_VALUE"""),"zne10260/evd1006")</f>
        <v>zne10260/evd1006</v>
      </c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 ht="15.75" customHeight="1" x14ac:dyDescent="0.2">
      <c r="A605" s="8">
        <f ca="1">IFERROR(__xludf.DUMMYFUNCTION("""COMPUTED_VALUE"""),45309.6561190046)</f>
        <v>45309.656119004598</v>
      </c>
      <c r="B605" s="1" t="str">
        <f ca="1">IFERROR(__xludf.DUMMYFUNCTION("""COMPUTED_VALUE"""),"CEC")</f>
        <v>CEC</v>
      </c>
      <c r="C605" s="1" t="str">
        <f ca="1">IFERROR(__xludf.DUMMYFUNCTION("""COMPUTED_VALUE"""),"ed235002002th")</f>
        <v>ed235002002th</v>
      </c>
      <c r="D605" s="1" t="str">
        <f ca="1">IFERROR(__xludf.DUMMYFUNCTION("""COMPUTED_VALUE"""),"ไอซ์")</f>
        <v>ไอซ์</v>
      </c>
      <c r="E605" s="1" t="str">
        <f ca="1">IFERROR(__xludf.DUMMYFUNCTION("""COMPUTED_VALUE"""),"080-3329760")</f>
        <v>080-3329760</v>
      </c>
      <c r="F605" s="1" t="str">
        <f ca="1">IFERROR(__xludf.DUMMYFUNCTION("""COMPUTED_VALUE"""),"940/349 อุดมสุข 24 สุขุมวิท 103")</f>
        <v>940/349 อุดมสุข 24 สุขุมวิท 103</v>
      </c>
      <c r="G605" s="1" t="str">
        <f ca="1">IFERROR(__xludf.DUMMYFUNCTION("""COMPUTED_VALUE"""),"ตรวจสอบการนำจ่าย")</f>
        <v>ตรวจสอบการนำจ่าย</v>
      </c>
      <c r="H605" s="1" t="str">
        <f ca="1">IFERROR(__xludf.DUMMYFUNCTION("""COMPUTED_VALUE"""),"-")</f>
        <v>-</v>
      </c>
      <c r="I605" s="1" t="str">
        <f ca="1">IFERROR(__xludf.DUMMYFUNCTION("""COMPUTED_VALUE"""),"-")</f>
        <v>-</v>
      </c>
      <c r="J605" s="1" t="str">
        <f ca="1">IFERROR(__xludf.DUMMYFUNCTION("""COMPUTED_VALUE"""),"DB2")</f>
        <v>DB2</v>
      </c>
      <c r="K605" s="1" t="str">
        <f ca="1">IFERROR(__xludf.DUMMYFUNCTION("""COMPUTED_VALUE"""),"ems10260evd2018")</f>
        <v>ems10260evd2018</v>
      </c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 ht="15.75" customHeight="1" x14ac:dyDescent="0.2">
      <c r="A606" s="8">
        <f ca="1">IFERROR(__xludf.DUMMYFUNCTION("""COMPUTED_VALUE"""),45309.6574267245)</f>
        <v>45309.657426724501</v>
      </c>
      <c r="B606" s="1" t="str">
        <f ca="1">IFERROR(__xludf.DUMMYFUNCTION("""COMPUTED_VALUE"""),"CEC")</f>
        <v>CEC</v>
      </c>
      <c r="C606" s="1" t="str">
        <f ca="1">IFERROR(__xludf.DUMMYFUNCTION("""COMPUTED_VALUE"""),"ev789376209th")</f>
        <v>ev789376209th</v>
      </c>
      <c r="D606" s="1" t="str">
        <f ca="1">IFERROR(__xludf.DUMMYFUNCTION("""COMPUTED_VALUE"""),"kyle")</f>
        <v>kyle</v>
      </c>
      <c r="E606" s="1" t="str">
        <f ca="1">IFERROR(__xludf.DUMMYFUNCTION("""COMPUTED_VALUE"""),"094-8629959 ผู้ส่ง")</f>
        <v>094-8629959 ผู้ส่ง</v>
      </c>
      <c r="F606" s="1" t="str">
        <f ca="1">IFERROR(__xludf.DUMMYFUNCTION("""COMPUTED_VALUE"""),"354 รีจเ้นส์โฮม ห้อง 114 สุขุมวิท 97/1")</f>
        <v>354 รีจเ้นส์โฮม ห้อง 114 สุขุมวิท 97/1</v>
      </c>
      <c r="G606" s="1" t="str">
        <f ca="1">IFERROR(__xludf.DUMMYFUNCTION("""COMPUTED_VALUE"""),"ตรวจสอบการนำจ่าย")</f>
        <v>ตรวจสอบการนำจ่าย</v>
      </c>
      <c r="H606" s="1" t="str">
        <f ca="1">IFERROR(__xludf.DUMMYFUNCTION("""COMPUTED_VALUE"""),"-")</f>
        <v>-</v>
      </c>
      <c r="I606" s="1" t="str">
        <f ca="1">IFERROR(__xludf.DUMMYFUNCTION("""COMPUTED_VALUE"""),"-")</f>
        <v>-</v>
      </c>
      <c r="J606" s="1" t="str">
        <f ca="1">IFERROR(__xludf.DUMMYFUNCTION("""COMPUTED_VALUE"""),"นำจ่ายรถยนต์")</f>
        <v>นำจ่ายรถยนต์</v>
      </c>
      <c r="K606" s="1" t="str">
        <f ca="1">IFERROR(__xludf.DUMMYFUNCTION("""COMPUTED_VALUE"""),"car10260ems5013")</f>
        <v>car10260ems5013</v>
      </c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 ht="15.75" customHeight="1" x14ac:dyDescent="0.2">
      <c r="A607" s="8">
        <f ca="1">IFERROR(__xludf.DUMMYFUNCTION("""COMPUTED_VALUE"""),45309.6938100115)</f>
        <v>45309.6938100115</v>
      </c>
      <c r="B607" s="1" t="str">
        <f ca="1">IFERROR(__xludf.DUMMYFUNCTION("""COMPUTED_VALUE"""),"CEC")</f>
        <v>CEC</v>
      </c>
      <c r="C607" s="1" t="str">
        <f ca="1">IFERROR(__xludf.DUMMYFUNCTION("""COMPUTED_VALUE"""),"lp156453101in")</f>
        <v>lp156453101in</v>
      </c>
      <c r="D607" s="1" t="str">
        <f ca="1">IFERROR(__xludf.DUMMYFUNCTION("""COMPUTED_VALUE"""),"mr.dareen lee")</f>
        <v>mr.dareen lee</v>
      </c>
      <c r="E607" s="1" t="str">
        <f ca="1">IFERROR(__xludf.DUMMYFUNCTION("""COMPUTED_VALUE"""),"082*2258164")</f>
        <v>082*2258164</v>
      </c>
      <c r="F607" s="1" t="str">
        <f ca="1">IFERROR(__xludf.DUMMYFUNCTION("""COMPUTED_VALUE"""),"9/1 โรงแรมรามาด้า สุขุมวิท 87")</f>
        <v>9/1 โรงแรมรามาด้า สุขุมวิท 87</v>
      </c>
      <c r="G607" s="1" t="str">
        <f ca="1">IFERROR(__xludf.DUMMYFUNCTION("""COMPUTED_VALUE"""),"ตรวจสอบการนำจ่าย")</f>
        <v>ตรวจสอบการนำจ่าย</v>
      </c>
      <c r="H607" s="1" t="str">
        <f ca="1">IFERROR(__xludf.DUMMYFUNCTION("""COMPUTED_VALUE"""),"-")</f>
        <v>-</v>
      </c>
      <c r="I607" s="1" t="str">
        <f ca="1">IFERROR(__xludf.DUMMYFUNCTION("""COMPUTED_VALUE"""),"-")</f>
        <v>-</v>
      </c>
      <c r="J607" s="1" t="str">
        <f ca="1">IFERROR(__xludf.DUMMYFUNCTION("""COMPUTED_VALUE"""),"DB3")</f>
        <v>DB3</v>
      </c>
      <c r="K607" s="1" t="str">
        <f ca="1">IFERROR(__xludf.DUMMYFUNCTION("""COMPUTED_VALUE"""),"ems10260evd3001")</f>
        <v>ems10260evd3001</v>
      </c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 ht="15.75" customHeight="1" x14ac:dyDescent="0.2">
      <c r="A608" s="8">
        <f ca="1">IFERROR(__xludf.DUMMYFUNCTION("""COMPUTED_VALUE"""),45309.6988084259)</f>
        <v>45309.698808425899</v>
      </c>
      <c r="B608" s="1" t="str">
        <f ca="1">IFERROR(__xludf.DUMMYFUNCTION("""COMPUTED_VALUE"""),"CEC")</f>
        <v>CEC</v>
      </c>
      <c r="C608" s="1" t="str">
        <f ca="1">IFERROR(__xludf.DUMMYFUNCTION("""COMPUTED_VALUE"""),"eg426078785th")</f>
        <v>eg426078785th</v>
      </c>
      <c r="D608" s="1" t="str">
        <f ca="1">IFERROR(__xludf.DUMMYFUNCTION("""COMPUTED_VALUE"""),"ธมนพัชร์")</f>
        <v>ธมนพัชร์</v>
      </c>
      <c r="E608" s="1" t="str">
        <f ca="1">IFERROR(__xludf.DUMMYFUNCTION("""COMPUTED_VALUE"""),"062-2245993")</f>
        <v>062-2245993</v>
      </c>
      <c r="F608" s="1" t="str">
        <f ca="1">IFERROR(__xludf.DUMMYFUNCTION("""COMPUTED_VALUE"""),"58/78 คอนโดเดอะรูม สุขุมวิท 64")</f>
        <v>58/78 คอนโดเดอะรูม สุขุมวิท 64</v>
      </c>
      <c r="G608" s="1" t="str">
        <f ca="1">IFERROR(__xludf.DUMMYFUNCTION("""COMPUTED_VALUE"""),"นำจ่ายใหม่")</f>
        <v>นำจ่ายใหม่</v>
      </c>
      <c r="H608" s="1" t="str">
        <f ca="1">IFERROR(__xludf.DUMMYFUNCTION("""COMPUTED_VALUE"""),"-")</f>
        <v>-</v>
      </c>
      <c r="I608" s="1" t="str">
        <f ca="1">IFERROR(__xludf.DUMMYFUNCTION("""COMPUTED_VALUE"""),"-")</f>
        <v>-</v>
      </c>
      <c r="J608" s="1" t="str">
        <f ca="1">IFERROR(__xludf.DUMMYFUNCTION("""COMPUTED_VALUE"""),"DB4")</f>
        <v>DB4</v>
      </c>
      <c r="K608" s="1" t="str">
        <f ca="1">IFERROR(__xludf.DUMMYFUNCTION("""COMPUTED_VALUE"""),"ems10260evd4001")</f>
        <v>ems10260evd4001</v>
      </c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 ht="15.75" customHeight="1" x14ac:dyDescent="0.2">
      <c r="A609" s="8">
        <f ca="1">IFERROR(__xludf.DUMMYFUNCTION("""COMPUTED_VALUE"""),45310.4540087384)</f>
        <v>45310.454008738401</v>
      </c>
      <c r="B609" s="1" t="str">
        <f ca="1">IFERROR(__xludf.DUMMYFUNCTION("""COMPUTED_VALUE"""),"On Queue")</f>
        <v>On Queue</v>
      </c>
      <c r="C609" s="1" t="str">
        <f ca="1">IFERROR(__xludf.DUMMYFUNCTION("""COMPUTED_VALUE"""),"ed148927715th")</f>
        <v>ed148927715th</v>
      </c>
      <c r="D609" s="1" t="str">
        <f ca="1">IFERROR(__xludf.DUMMYFUNCTION("""COMPUTED_VALUE"""),"ภูดิศ")</f>
        <v>ภูดิศ</v>
      </c>
      <c r="E609" s="1" t="str">
        <f ca="1">IFERROR(__xludf.DUMMYFUNCTION("""COMPUTED_VALUE"""),"-")</f>
        <v>-</v>
      </c>
      <c r="F609" s="1" t="str">
        <f ca="1">IFERROR(__xludf.DUMMYFUNCTION("""COMPUTED_VALUE"""),"203 ซ.ลาซาน 52 แยก 1 สุขุมวิท 105")</f>
        <v>203 ซ.ลาซาน 52 แยก 1 สุขุมวิท 105</v>
      </c>
      <c r="G609" s="1" t="str">
        <f ca="1">IFERROR(__xludf.DUMMYFUNCTION("""COMPUTED_VALUE"""),"ตรวจสอบการนำจ่าย")</f>
        <v>ตรวจสอบการนำจ่าย</v>
      </c>
      <c r="H609" s="1" t="str">
        <f ca="1">IFERROR(__xludf.DUMMYFUNCTION("""COMPUTED_VALUE"""),"-")</f>
        <v>-</v>
      </c>
      <c r="I609" s="1" t="str">
        <f ca="1">IFERROR(__xludf.DUMMYFUNCTION("""COMPUTED_VALUE"""),"-")</f>
        <v>-</v>
      </c>
      <c r="J609" s="1" t="str">
        <f ca="1">IFERROR(__xludf.DUMMYFUNCTION("""COMPUTED_VALUE"""),"DB1")</f>
        <v>DB1</v>
      </c>
      <c r="K609" s="1" t="str">
        <f ca="1">IFERROR(__xludf.DUMMYFUNCTION("""COMPUTED_VALUE"""),"ems10260evd1012")</f>
        <v>ems10260evd1012</v>
      </c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 ht="15.75" customHeight="1" x14ac:dyDescent="0.2">
      <c r="A610" s="8">
        <f ca="1">IFERROR(__xludf.DUMMYFUNCTION("""COMPUTED_VALUE"""),45310.4549623726)</f>
        <v>45310.454962372598</v>
      </c>
      <c r="B610" s="1" t="str">
        <f ca="1">IFERROR(__xludf.DUMMYFUNCTION("""COMPUTED_VALUE"""),"CEC")</f>
        <v>CEC</v>
      </c>
      <c r="C610" s="1" t="str">
        <f ca="1">IFERROR(__xludf.DUMMYFUNCTION("""COMPUTED_VALUE"""),"eb537228069th")</f>
        <v>eb537228069th</v>
      </c>
      <c r="D610" s="1" t="str">
        <f ca="1">IFERROR(__xludf.DUMMYFUNCTION("""COMPUTED_VALUE"""),"นิศากร")</f>
        <v>นิศากร</v>
      </c>
      <c r="E610" s="1" t="str">
        <f ca="1">IFERROR(__xludf.DUMMYFUNCTION("""COMPUTED_VALUE"""),"098-3979716")</f>
        <v>098-3979716</v>
      </c>
      <c r="F610" s="1" t="str">
        <f ca="1">IFERROR(__xludf.DUMMYFUNCTION("""COMPUTED_VALUE"""),"46/125 รีเจ้นส์โฮม ตึก เอช สรรพาวุธ")</f>
        <v>46/125 รีเจ้นส์โฮม ตึก เอช สรรพาวุธ</v>
      </c>
      <c r="G610" s="1" t="str">
        <f ca="1">IFERROR(__xludf.DUMMYFUNCTION("""COMPUTED_VALUE"""),"ตรวจสอบการนำจ่าย")</f>
        <v>ตรวจสอบการนำจ่าย</v>
      </c>
      <c r="H610" s="1" t="str">
        <f ca="1">IFERROR(__xludf.DUMMYFUNCTION("""COMPUTED_VALUE"""),"-")</f>
        <v>-</v>
      </c>
      <c r="I610" s="1" t="str">
        <f ca="1">IFERROR(__xludf.DUMMYFUNCTION("""COMPUTED_VALUE"""),"-")</f>
        <v>-</v>
      </c>
      <c r="J610" s="1" t="str">
        <f ca="1">IFERROR(__xludf.DUMMYFUNCTION("""COMPUTED_VALUE"""),"นำจ่ายรถยนต์")</f>
        <v>นำจ่ายรถยนต์</v>
      </c>
      <c r="K610" s="1" t="str">
        <f ca="1">IFERROR(__xludf.DUMMYFUNCTION("""COMPUTED_VALUE"""),"car10260evd5003")</f>
        <v>car10260evd5003</v>
      </c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 ht="15.75" customHeight="1" x14ac:dyDescent="0.2">
      <c r="A611" s="8">
        <f ca="1">IFERROR(__xludf.DUMMYFUNCTION("""COMPUTED_VALUE"""),45310.4850466898)</f>
        <v>45310.485046689799</v>
      </c>
      <c r="B611" s="1" t="str">
        <f ca="1">IFERROR(__xludf.DUMMYFUNCTION("""COMPUTED_VALUE"""),"CEC")</f>
        <v>CEC</v>
      </c>
      <c r="C611" s="1" t="str">
        <f ca="1">IFERROR(__xludf.DUMMYFUNCTION("""COMPUTED_VALUE"""),"ob302549535th")</f>
        <v>ob302549535th</v>
      </c>
      <c r="D611" s="1" t="str">
        <f ca="1">IFERROR(__xludf.DUMMYFUNCTION("""COMPUTED_VALUE"""),"-")</f>
        <v>-</v>
      </c>
      <c r="E611" s="1" t="str">
        <f ca="1">IFERROR(__xludf.DUMMYFUNCTION("""COMPUTED_VALUE"""),"02-3614217-19 (ต่อ 103-106)")</f>
        <v>02-3614217-19 (ต่อ 103-106)</v>
      </c>
      <c r="F611" s="1" t="str">
        <f ca="1">IFERROR(__xludf.DUMMYFUNCTION("""COMPUTED_VALUE"""),"สนง.บังคับคดี แพ่ง กรุงเทพ 5 สรรพาวุธ")</f>
        <v>สนง.บังคับคดี แพ่ง กรุงเทพ 5 สรรพาวุธ</v>
      </c>
      <c r="G611" s="1" t="str">
        <f ca="1">IFERROR(__xludf.DUMMYFUNCTION("""COMPUTED_VALUE"""),"ตรวจสอบการนำจ่าย")</f>
        <v>ตรวจสอบการนำจ่าย</v>
      </c>
      <c r="H611" s="1" t="str">
        <f ca="1">IFERROR(__xludf.DUMMYFUNCTION("""COMPUTED_VALUE"""),"-")</f>
        <v>-</v>
      </c>
      <c r="I611" s="1" t="str">
        <f ca="1">IFERROR(__xludf.DUMMYFUNCTION("""COMPUTED_VALUE"""),"-")</f>
        <v>-</v>
      </c>
      <c r="J611" s="1" t="str">
        <f ca="1">IFERROR(__xludf.DUMMYFUNCTION("""COMPUTED_VALUE"""),"นำจ่ายรถยนต์")</f>
        <v>นำจ่ายรถยนต์</v>
      </c>
      <c r="K611" s="1" t="str">
        <f ca="1">IFERROR(__xludf.DUMMYFUNCTION("""COMPUTED_VALUE"""),"car10260evd5004")</f>
        <v>car10260evd5004</v>
      </c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 ht="15.75" customHeight="1" x14ac:dyDescent="0.2">
      <c r="A612" s="8">
        <f ca="1">IFERROR(__xludf.DUMMYFUNCTION("""COMPUTED_VALUE"""),45310.5776860185)</f>
        <v>45310.5776860185</v>
      </c>
      <c r="B612" s="1" t="str">
        <f ca="1">IFERROR(__xludf.DUMMYFUNCTION("""COMPUTED_VALUE"""),"CEC")</f>
        <v>CEC</v>
      </c>
      <c r="C612" s="1" t="str">
        <f ca="1">IFERROR(__xludf.DUMMYFUNCTION("""COMPUTED_VALUE"""),"ob302549535th")</f>
        <v>ob302549535th</v>
      </c>
      <c r="D612" s="1" t="str">
        <f ca="1">IFERROR(__xludf.DUMMYFUNCTION("""COMPUTED_VALUE"""),"-")</f>
        <v>-</v>
      </c>
      <c r="E612" s="1" t="str">
        <f ca="1">IFERROR(__xludf.DUMMYFUNCTION("""COMPUTED_VALUE"""),"02-3614217-19 Z9 (ต่อ 103-106)")</f>
        <v>02-3614217-19 Z9 (ต่อ 103-106)</v>
      </c>
      <c r="F612" s="1" t="str">
        <f ca="1">IFERROR(__xludf.DUMMYFUNCTION("""COMPUTED_VALUE"""),"สนง.บังคับคดีแพ่ง กรุงเทพมหานคร 5 สรรพาวุธ")</f>
        <v>สนง.บังคับคดีแพ่ง กรุงเทพมหานคร 5 สรรพาวุธ</v>
      </c>
      <c r="G612" s="1" t="str">
        <f ca="1">IFERROR(__xludf.DUMMYFUNCTION("""COMPUTED_VALUE"""),"ตรวจสอบการนำจ่าย")</f>
        <v>ตรวจสอบการนำจ่าย</v>
      </c>
      <c r="H612" s="1" t="str">
        <f ca="1">IFERROR(__xludf.DUMMYFUNCTION("""COMPUTED_VALUE"""),"-")</f>
        <v>-</v>
      </c>
      <c r="I612" s="1" t="str">
        <f ca="1">IFERROR(__xludf.DUMMYFUNCTION("""COMPUTED_VALUE"""),"-")</f>
        <v>-</v>
      </c>
      <c r="J612" s="1" t="str">
        <f ca="1">IFERROR(__xludf.DUMMYFUNCTION("""COMPUTED_VALUE"""),"นำจ่ายรถยนต์")</f>
        <v>นำจ่ายรถยนต์</v>
      </c>
      <c r="K612" s="1" t="str">
        <f ca="1">IFERROR(__xludf.DUMMYFUNCTION("""COMPUTED_VALUE"""),"car10260evd5004")</f>
        <v>car10260evd5004</v>
      </c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 ht="15.75" customHeight="1" x14ac:dyDescent="0.2">
      <c r="A613" s="8">
        <f ca="1">IFERROR(__xludf.DUMMYFUNCTION("""COMPUTED_VALUE"""),45310.5783944444)</f>
        <v>45310.578394444397</v>
      </c>
      <c r="B613" s="1" t="str">
        <f ca="1">IFERROR(__xludf.DUMMYFUNCTION("""COMPUTED_VALUE"""),"CEC")</f>
        <v>CEC</v>
      </c>
      <c r="C613" s="1" t="str">
        <f ca="1">IFERROR(__xludf.DUMMYFUNCTION("""COMPUTED_VALUE"""),"em516607962th")</f>
        <v>em516607962th</v>
      </c>
      <c r="D613" s="1" t="str">
        <f ca="1">IFERROR(__xludf.DUMMYFUNCTION("""COMPUTED_VALUE"""),"ปัญญาวุธ")</f>
        <v>ปัญญาวุธ</v>
      </c>
      <c r="E613" s="1" t="str">
        <f ca="1">IFERROR(__xludf.DUMMYFUNCTION("""COMPUTED_VALUE"""),"084-7043301")</f>
        <v>084-7043301</v>
      </c>
      <c r="F613" s="1" t="str">
        <f ca="1">IFERROR(__xludf.DUMMYFUNCTION("""COMPUTED_VALUE"""),"136 ซอย.สุขุมวิท 95")</f>
        <v>136 ซอย.สุขุมวิท 95</v>
      </c>
      <c r="G613" s="1" t="str">
        <f ca="1">IFERROR(__xludf.DUMMYFUNCTION("""COMPUTED_VALUE"""),"นำจ่ายใหม่")</f>
        <v>นำจ่ายใหม่</v>
      </c>
      <c r="H613" s="1" t="str">
        <f ca="1">IFERROR(__xludf.DUMMYFUNCTION("""COMPUTED_VALUE"""),"-")</f>
        <v>-</v>
      </c>
      <c r="I613" s="1" t="str">
        <f ca="1">IFERROR(__xludf.DUMMYFUNCTION("""COMPUTED_VALUE"""),"-")</f>
        <v>-</v>
      </c>
      <c r="J613" s="1" t="str">
        <f ca="1">IFERROR(__xludf.DUMMYFUNCTION("""COMPUTED_VALUE"""),"DB3")</f>
        <v>DB3</v>
      </c>
      <c r="K613" s="1" t="str">
        <f ca="1">IFERROR(__xludf.DUMMYFUNCTION("""COMPUTED_VALUE"""),"ems10260evd3012")</f>
        <v>ems10260evd3012</v>
      </c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 ht="15.75" customHeight="1" x14ac:dyDescent="0.2">
      <c r="A614" s="8">
        <f ca="1">IFERROR(__xludf.DUMMYFUNCTION("""COMPUTED_VALUE"""),45310.5883658796)</f>
        <v>45310.588365879601</v>
      </c>
      <c r="B614" s="1" t="str">
        <f ca="1">IFERROR(__xludf.DUMMYFUNCTION("""COMPUTED_VALUE"""),"CEC")</f>
        <v>CEC</v>
      </c>
      <c r="C614" s="1" t="str">
        <f ca="1">IFERROR(__xludf.DUMMYFUNCTION("""COMPUTED_VALUE"""),"ed197017361th")</f>
        <v>ed197017361th</v>
      </c>
      <c r="D614" s="1" t="str">
        <f ca="1">IFERROR(__xludf.DUMMYFUNCTION("""COMPUTED_VALUE"""),"สุพรรษา")</f>
        <v>สุพรรษา</v>
      </c>
      <c r="E614" s="1" t="str">
        <f ca="1">IFERROR(__xludf.DUMMYFUNCTION("""COMPUTED_VALUE"""),".080-3565431")</f>
        <v>.080-3565431</v>
      </c>
      <c r="F614" s="1" t="str">
        <f ca="1">IFERROR(__xludf.DUMMYFUNCTION("""COMPUTED_VALUE"""),"927/45 สาระอพาร์ทเมนท์ บางนา ตราด22")</f>
        <v>927/45 สาระอพาร์ทเมนท์ บางนา ตราด22</v>
      </c>
      <c r="G614" s="1" t="str">
        <f ca="1">IFERROR(__xludf.DUMMYFUNCTION("""COMPUTED_VALUE"""),"นำจ่ายใหม่")</f>
        <v>นำจ่ายใหม่</v>
      </c>
      <c r="H614" s="1" t="str">
        <f ca="1">IFERROR(__xludf.DUMMYFUNCTION("""COMPUTED_VALUE"""),"-")</f>
        <v>-</v>
      </c>
      <c r="I614" s="1" t="str">
        <f ca="1">IFERROR(__xludf.DUMMYFUNCTION("""COMPUTED_VALUE"""),"-")</f>
        <v>-</v>
      </c>
      <c r="J614" s="1" t="str">
        <f ca="1">IFERROR(__xludf.DUMMYFUNCTION("""COMPUTED_VALUE"""),"DB1")</f>
        <v>DB1</v>
      </c>
      <c r="K614" s="1" t="str">
        <f ca="1">IFERROR(__xludf.DUMMYFUNCTION("""COMPUTED_VALUE"""),"ems10260evd1033")</f>
        <v>ems10260evd1033</v>
      </c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 ht="15.75" customHeight="1" x14ac:dyDescent="0.2">
      <c r="A615" s="8">
        <f ca="1">IFERROR(__xludf.DUMMYFUNCTION("""COMPUTED_VALUE"""),45310.6429818634)</f>
        <v>45310.642981863399</v>
      </c>
      <c r="B615" s="1" t="str">
        <f ca="1">IFERROR(__xludf.DUMMYFUNCTION("""COMPUTED_VALUE"""),"CEC")</f>
        <v>CEC</v>
      </c>
      <c r="C615" s="1" t="str">
        <f ca="1">IFERROR(__xludf.DUMMYFUNCTION("""COMPUTED_VALUE"""),"ed059740404th")</f>
        <v>ed059740404th</v>
      </c>
      <c r="D615" s="1" t="str">
        <f ca="1">IFERROR(__xludf.DUMMYFUNCTION("""COMPUTED_VALUE"""),"san taw win")</f>
        <v>san taw win</v>
      </c>
      <c r="E615" s="1" t="str">
        <f ca="1">IFERROR(__xludf.DUMMYFUNCTION("""COMPUTED_VALUE"""),"061-9268475")</f>
        <v>061-9268475</v>
      </c>
      <c r="F615" s="1" t="str">
        <f ca="1">IFERROR(__xludf.DUMMYFUNCTION("""COMPUTED_VALUE"""),"1055 แคมป์คนงานก่อสร้างบางนาสปริง (ศูนย์นิสสันเก่า)")</f>
        <v>1055 แคมป์คนงานก่อสร้างบางนาสปริง (ศูนย์นิสสันเก่า)</v>
      </c>
      <c r="G615" s="1" t="str">
        <f ca="1">IFERROR(__xludf.DUMMYFUNCTION("""COMPUTED_VALUE"""),"นำจ่ายใหม่")</f>
        <v>นำจ่ายใหม่</v>
      </c>
      <c r="H615" s="1" t="str">
        <f ca="1">IFERROR(__xludf.DUMMYFUNCTION("""COMPUTED_VALUE"""),"COD.2700 บาท")</f>
        <v>COD.2700 บาท</v>
      </c>
      <c r="I615" s="1" t="str">
        <f ca="1">IFERROR(__xludf.DUMMYFUNCTION("""COMPUTED_VALUE"""),"-")</f>
        <v>-</v>
      </c>
      <c r="J615" s="1" t="str">
        <f ca="1">IFERROR(__xludf.DUMMYFUNCTION("""COMPUTED_VALUE"""),"DB2")</f>
        <v>DB2</v>
      </c>
      <c r="K615" s="1" t="str">
        <f ca="1">IFERROR(__xludf.DUMMYFUNCTION("""COMPUTED_VALUE"""),"ems10260evd2010")</f>
        <v>ems10260evd2010</v>
      </c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 ht="15.75" customHeight="1" x14ac:dyDescent="0.2">
      <c r="A616" s="8">
        <f ca="1">IFERROR(__xludf.DUMMYFUNCTION("""COMPUTED_VALUE"""),45310.6446302662)</f>
        <v>45310.644630266201</v>
      </c>
      <c r="B616" s="1" t="str">
        <f ca="1">IFERROR(__xludf.DUMMYFUNCTION("""COMPUTED_VALUE"""),"CEC")</f>
        <v>CEC</v>
      </c>
      <c r="C616" s="1" t="str">
        <f ca="1">IFERROR(__xludf.DUMMYFUNCTION("""COMPUTED_VALUE"""),"eb583795971th")</f>
        <v>eb583795971th</v>
      </c>
      <c r="D616" s="1" t="str">
        <f ca="1">IFERROR(__xludf.DUMMYFUNCTION("""COMPUTED_VALUE"""),"เปรมฤทัย")</f>
        <v>เปรมฤทัย</v>
      </c>
      <c r="E616" s="1" t="str">
        <f ca="1">IFERROR(__xludf.DUMMYFUNCTION("""COMPUTED_VALUE"""),"085-2381008")</f>
        <v>085-2381008</v>
      </c>
      <c r="F616" s="1" t="str">
        <f ca="1">IFERROR(__xludf.DUMMYFUNCTION("""COMPUTED_VALUE"""),"136-138 คอนโดสิริเป็ค ลาซาน 58")</f>
        <v>136-138 คอนโดสิริเป็ค ลาซาน 58</v>
      </c>
      <c r="G616" s="1" t="str">
        <f ca="1">IFERROR(__xludf.DUMMYFUNCTION("""COMPUTED_VALUE"""),"ตรวจสอบการนำจ่าย")</f>
        <v>ตรวจสอบการนำจ่าย</v>
      </c>
      <c r="H616" s="1" t="str">
        <f ca="1">IFERROR(__xludf.DUMMYFUNCTION("""COMPUTED_VALUE"""),"-")</f>
        <v>-</v>
      </c>
      <c r="I616" s="1" t="str">
        <f ca="1">IFERROR(__xludf.DUMMYFUNCTION("""COMPUTED_VALUE"""),"-")</f>
        <v>-</v>
      </c>
      <c r="J616" s="1" t="str">
        <f ca="1">IFERROR(__xludf.DUMMYFUNCTION("""COMPUTED_VALUE"""),"DB2")</f>
        <v>DB2</v>
      </c>
      <c r="K616" s="1" t="str">
        <f ca="1">IFERROR(__xludf.DUMMYFUNCTION("""COMPUTED_VALUE"""),"ems10260evd5008")</f>
        <v>ems10260evd5008</v>
      </c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 ht="15.75" customHeight="1" x14ac:dyDescent="0.2">
      <c r="A617" s="8">
        <f ca="1">IFERROR(__xludf.DUMMYFUNCTION("""COMPUTED_VALUE"""),45310.6655505208)</f>
        <v>45310.665550520796</v>
      </c>
      <c r="B617" s="1" t="str">
        <f ca="1">IFERROR(__xludf.DUMMYFUNCTION("""COMPUTED_VALUE"""),"CEC")</f>
        <v>CEC</v>
      </c>
      <c r="C617" s="1" t="str">
        <f ca="1">IFERROR(__xludf.DUMMYFUNCTION("""COMPUTED_VALUE"""),"ed128979735th")</f>
        <v>ed128979735th</v>
      </c>
      <c r="D617" s="1" t="str">
        <f ca="1">IFERROR(__xludf.DUMMYFUNCTION("""COMPUTED_VALUE"""),"ปพิชญา")</f>
        <v>ปพิชญา</v>
      </c>
      <c r="E617" s="1" t="str">
        <f ca="1">IFERROR(__xludf.DUMMYFUNCTION("""COMPUTED_VALUE"""),"062-5323698")</f>
        <v>062-5323698</v>
      </c>
      <c r="F617" s="1" t="str">
        <f ca="1">IFERROR(__xludf.DUMMYFUNCTION("""COMPUTED_VALUE"""),"4111/107 คอนโดเดอะสกาย อุดมสุข")</f>
        <v>4111/107 คอนโดเดอะสกาย อุดมสุข</v>
      </c>
      <c r="G617" s="1" t="str">
        <f ca="1">IFERROR(__xludf.DUMMYFUNCTION("""COMPUTED_VALUE"""),"ตรวจสอบการนำจ่าย")</f>
        <v>ตรวจสอบการนำจ่าย</v>
      </c>
      <c r="H617" s="1" t="str">
        <f ca="1">IFERROR(__xludf.DUMMYFUNCTION("""COMPUTED_VALUE"""),"-")</f>
        <v>-</v>
      </c>
      <c r="I617" s="1" t="str">
        <f ca="1">IFERROR(__xludf.DUMMYFUNCTION("""COMPUTED_VALUE"""),"-")</f>
        <v>-</v>
      </c>
      <c r="J617" s="1" t="str">
        <f ca="1">IFERROR(__xludf.DUMMYFUNCTION("""COMPUTED_VALUE"""),"นำจ่ายรถยนต์")</f>
        <v>นำจ่ายรถยนต์</v>
      </c>
      <c r="K617" s="1" t="str">
        <f ca="1">IFERROR(__xludf.DUMMYFUNCTION("""COMPUTED_VALUE"""),"ems10260evd5010")</f>
        <v>ems10260evd5010</v>
      </c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 ht="15.75" customHeight="1" x14ac:dyDescent="0.2">
      <c r="A618" s="8">
        <f ca="1">IFERROR(__xludf.DUMMYFUNCTION("""COMPUTED_VALUE"""),45310.6743444907)</f>
        <v>45310.674344490697</v>
      </c>
      <c r="B618" s="1" t="str">
        <f ca="1">IFERROR(__xludf.DUMMYFUNCTION("""COMPUTED_VALUE"""),"CEC")</f>
        <v>CEC</v>
      </c>
      <c r="C618" s="1" t="str">
        <f ca="1">IFERROR(__xludf.DUMMYFUNCTION("""COMPUTED_VALUE"""),"ed162848545th")</f>
        <v>ed162848545th</v>
      </c>
      <c r="D618" s="1" t="str">
        <f ca="1">IFERROR(__xludf.DUMMYFUNCTION("""COMPUTED_VALUE"""),"skylefah")</f>
        <v>skylefah</v>
      </c>
      <c r="E618" s="1" t="str">
        <f ca="1">IFERROR(__xludf.DUMMYFUNCTION("""COMPUTED_VALUE"""),"084-6497444")</f>
        <v>084-6497444</v>
      </c>
      <c r="F618" s="1" t="str">
        <f ca="1">IFERROR(__xludf.DUMMYFUNCTION("""COMPUTED_VALUE"""),"204/24 โรงแรมเดอะเบสรูมบูติค สุขุมวิท 77")</f>
        <v>204/24 โรงแรมเดอะเบสรูมบูติค สุขุมวิท 77</v>
      </c>
      <c r="G618" s="1" t="str">
        <f ca="1">IFERROR(__xludf.DUMMYFUNCTION("""COMPUTED_VALUE"""),"ตรวจสอบการนำจ่าย")</f>
        <v>ตรวจสอบการนำจ่าย</v>
      </c>
      <c r="H618" s="1" t="str">
        <f ca="1">IFERROR(__xludf.DUMMYFUNCTION("""COMPUTED_VALUE"""),"-")</f>
        <v>-</v>
      </c>
      <c r="I618" s="1" t="str">
        <f ca="1">IFERROR(__xludf.DUMMYFUNCTION("""COMPUTED_VALUE"""),"-")</f>
        <v>-</v>
      </c>
      <c r="J618" s="1" t="str">
        <f ca="1">IFERROR(__xludf.DUMMYFUNCTION("""COMPUTED_VALUE"""),"DB4")</f>
        <v>DB4</v>
      </c>
      <c r="K618" s="1" t="str">
        <f ca="1">IFERROR(__xludf.DUMMYFUNCTION("""COMPUTED_VALUE"""),"ems10260evd4022")</f>
        <v>ems10260evd4022</v>
      </c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 ht="15.75" customHeight="1" x14ac:dyDescent="0.2">
      <c r="A619" s="8">
        <f ca="1">IFERROR(__xludf.DUMMYFUNCTION("""COMPUTED_VALUE"""),45313.4500545601)</f>
        <v>45313.450054560097</v>
      </c>
      <c r="B619" s="1" t="str">
        <f ca="1">IFERROR(__xludf.DUMMYFUNCTION("""COMPUTED_VALUE"""),"CEC")</f>
        <v>CEC</v>
      </c>
      <c r="C619" s="1" t="str">
        <f ca="1">IFERROR(__xludf.DUMMYFUNCTION("""COMPUTED_VALUE"""),"em129705477th")</f>
        <v>em129705477th</v>
      </c>
      <c r="D619" s="1" t="str">
        <f ca="1">IFERROR(__xludf.DUMMYFUNCTION("""COMPUTED_VALUE"""),"นันท์นภัส")</f>
        <v>นันท์นภัส</v>
      </c>
      <c r="E619" s="1" t="str">
        <f ca="1">IFERROR(__xludf.DUMMYFUNCTION("""COMPUTED_VALUE"""),"096-7909121")</f>
        <v>096-7909121</v>
      </c>
      <c r="F619" s="1" t="str">
        <f ca="1">IFERROR(__xludf.DUMMYFUNCTION("""COMPUTED_VALUE"""),"199/1013 คอนโดน็อตติ้งฮิลล์ ลาซาน 6")</f>
        <v>199/1013 คอนโดน็อตติ้งฮิลล์ ลาซาน 6</v>
      </c>
      <c r="G619" s="1" t="str">
        <f ca="1">IFERROR(__xludf.DUMMYFUNCTION("""COMPUTED_VALUE"""),"นำจ่ายใหม่")</f>
        <v>นำจ่ายใหม่</v>
      </c>
      <c r="H619" s="1" t="str">
        <f ca="1">IFERROR(__xludf.DUMMYFUNCTION("""COMPUTED_VALUE"""),"COD.2049 บาท")</f>
        <v>COD.2049 บาท</v>
      </c>
      <c r="I619" s="1" t="str">
        <f ca="1">IFERROR(__xludf.DUMMYFUNCTION("""COMPUTED_VALUE"""),"-")</f>
        <v>-</v>
      </c>
      <c r="J619" s="1" t="str">
        <f ca="1">IFERROR(__xludf.DUMMYFUNCTION("""COMPUTED_VALUE"""),"DB1")</f>
        <v>DB1</v>
      </c>
      <c r="K619" s="1" t="str">
        <f ca="1">IFERROR(__xludf.DUMMYFUNCTION("""COMPUTED_VALUE"""),"ems10260evd1020")</f>
        <v>ems10260evd1020</v>
      </c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 ht="15.75" customHeight="1" x14ac:dyDescent="0.2">
      <c r="A620" s="8">
        <f ca="1">IFERROR(__xludf.DUMMYFUNCTION("""COMPUTED_VALUE"""),45313.4520582407)</f>
        <v>45313.452058240699</v>
      </c>
      <c r="B620" s="1" t="str">
        <f ca="1">IFERROR(__xludf.DUMMYFUNCTION("""COMPUTED_VALUE"""),"CEC")</f>
        <v>CEC</v>
      </c>
      <c r="C620" s="1" t="str">
        <f ca="1">IFERROR(__xludf.DUMMYFUNCTION("""COMPUTED_VALUE"""),"่่ืjn034039650th")</f>
        <v>่่ืjn034039650th</v>
      </c>
      <c r="D620" s="1" t="str">
        <f ca="1">IFERROR(__xludf.DUMMYFUNCTION("""COMPUTED_VALUE"""),"อำนวย")</f>
        <v>อำนวย</v>
      </c>
      <c r="E620" s="1" t="str">
        <f ca="1">IFERROR(__xludf.DUMMYFUNCTION("""COMPUTED_VALUE"""),"089-8281393")</f>
        <v>089-8281393</v>
      </c>
      <c r="F620" s="1" t="str">
        <f ca="1">IFERROR(__xludf.DUMMYFUNCTION("""COMPUTED_VALUE"""),"108 ซ.พงษ์เวช 2 แยก 6-5-2-2 ซ.64")</f>
        <v>108 ซ.พงษ์เวช 2 แยก 6-5-2-2 ซ.64</v>
      </c>
      <c r="G620" s="1" t="str">
        <f ca="1">IFERROR(__xludf.DUMMYFUNCTION("""COMPUTED_VALUE"""),"นำจ่ายใหม่")</f>
        <v>นำจ่ายใหม่</v>
      </c>
      <c r="H620" s="1" t="str">
        <f ca="1">IFERROR(__xludf.DUMMYFUNCTION("""COMPUTED_VALUE"""),"COD.990 บาท")</f>
        <v>COD.990 บาท</v>
      </c>
      <c r="I620" s="1" t="str">
        <f ca="1">IFERROR(__xludf.DUMMYFUNCTION("""COMPUTED_VALUE"""),"-")</f>
        <v>-</v>
      </c>
      <c r="J620" s="1" t="str">
        <f ca="1">IFERROR(__xludf.DUMMYFUNCTION("""COMPUTED_VALUE"""),"DB4")</f>
        <v>DB4</v>
      </c>
      <c r="K620" s="1" t="str">
        <f ca="1">IFERROR(__xludf.DUMMYFUNCTION("""COMPUTED_VALUE"""),"ems10260evd4005")</f>
        <v>ems10260evd4005</v>
      </c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 ht="15.75" customHeight="1" x14ac:dyDescent="0.2">
      <c r="A621" s="8">
        <f ca="1">IFERROR(__xludf.DUMMYFUNCTION("""COMPUTED_VALUE"""),45313.4891055787)</f>
        <v>45313.489105578701</v>
      </c>
      <c r="B621" s="1" t="str">
        <f ca="1">IFERROR(__xludf.DUMMYFUNCTION("""COMPUTED_VALUE"""),"CEC")</f>
        <v>CEC</v>
      </c>
      <c r="C621" s="1" t="str">
        <f ca="1">IFERROR(__xludf.DUMMYFUNCTION("""COMPUTED_VALUE"""),"ed154214611th")</f>
        <v>ed154214611th</v>
      </c>
      <c r="D621" s="1" t="str">
        <f ca="1">IFERROR(__xludf.DUMMYFUNCTION("""COMPUTED_VALUE"""),"เวชพล")</f>
        <v>เวชพล</v>
      </c>
      <c r="E621" s="1" t="str">
        <f ca="1">IFERROR(__xludf.DUMMYFUNCTION("""COMPUTED_VALUE"""),"086-1057935")</f>
        <v>086-1057935</v>
      </c>
      <c r="F621" s="1" t="str">
        <f ca="1">IFERROR(__xludf.DUMMYFUNCTION("""COMPUTED_VALUE"""),"705 ตึกแถว อุดมสุข 47 ซ.103")</f>
        <v>705 ตึกแถว อุดมสุข 47 ซ.103</v>
      </c>
      <c r="G621" s="1" t="str">
        <f ca="1">IFERROR(__xludf.DUMMYFUNCTION("""COMPUTED_VALUE"""),"ตรวจสอบการนำจ่าย")</f>
        <v>ตรวจสอบการนำจ่าย</v>
      </c>
      <c r="H621" s="1" t="str">
        <f ca="1">IFERROR(__xludf.DUMMYFUNCTION("""COMPUTED_VALUE"""),"-")</f>
        <v>-</v>
      </c>
      <c r="I621" s="1" t="str">
        <f ca="1">IFERROR(__xludf.DUMMYFUNCTION("""COMPUTED_VALUE"""),"-")</f>
        <v>-</v>
      </c>
      <c r="J621" s="1" t="str">
        <f ca="1">IFERROR(__xludf.DUMMYFUNCTION("""COMPUTED_VALUE"""),"DB3")</f>
        <v>DB3</v>
      </c>
      <c r="K621" s="1" t="str">
        <f ca="1">IFERROR(__xludf.DUMMYFUNCTION("""COMPUTED_VALUE"""),"ems10260evd3034")</f>
        <v>ems10260evd3034</v>
      </c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 ht="15.75" customHeight="1" x14ac:dyDescent="0.2">
      <c r="A622" s="8">
        <f ca="1">IFERROR(__xludf.DUMMYFUNCTION("""COMPUTED_VALUE"""),45313.4902696064)</f>
        <v>45313.490269606402</v>
      </c>
      <c r="B622" s="1" t="str">
        <f ca="1">IFERROR(__xludf.DUMMYFUNCTION("""COMPUTED_VALUE"""),"CEC")</f>
        <v>CEC</v>
      </c>
      <c r="C622" s="1" t="str">
        <f ca="1">IFERROR(__xludf.DUMMYFUNCTION("""COMPUTED_VALUE"""),"ed262811596th")</f>
        <v>ed262811596th</v>
      </c>
      <c r="D622" s="1" t="str">
        <f ca="1">IFERROR(__xludf.DUMMYFUNCTION("""COMPUTED_VALUE"""),"วัชระ")</f>
        <v>วัชระ</v>
      </c>
      <c r="E622" s="1" t="str">
        <f ca="1">IFERROR(__xludf.DUMMYFUNCTION("""COMPUTED_VALUE"""),"095-7868725")</f>
        <v>095-7868725</v>
      </c>
      <c r="F622" s="1" t="str">
        <f ca="1">IFERROR(__xludf.DUMMYFUNCTION("""COMPUTED_VALUE"""),"29-31 บ.ซันวาเดลทอล ประวิทย์ 4")</f>
        <v>29-31 บ.ซันวาเดลทอล ประวิทย์ 4</v>
      </c>
      <c r="G622" s="1" t="str">
        <f ca="1">IFERROR(__xludf.DUMMYFUNCTION("""COMPUTED_VALUE"""),"นำจ่ายใหม่")</f>
        <v>นำจ่ายใหม่</v>
      </c>
      <c r="H622" s="1" t="str">
        <f ca="1">IFERROR(__xludf.DUMMYFUNCTION("""COMPUTED_VALUE"""),"-")</f>
        <v>-</v>
      </c>
      <c r="I622" s="1" t="str">
        <f ca="1">IFERROR(__xludf.DUMMYFUNCTION("""COMPUTED_VALUE"""),"-")</f>
        <v>-</v>
      </c>
      <c r="J622" s="1" t="str">
        <f ca="1">IFERROR(__xludf.DUMMYFUNCTION("""COMPUTED_VALUE"""),"DB3")</f>
        <v>DB3</v>
      </c>
      <c r="K622" s="1" t="str">
        <f ca="1">IFERROR(__xludf.DUMMYFUNCTION("""COMPUTED_VALUE"""),"ems10260evd3034")</f>
        <v>ems10260evd3034</v>
      </c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 ht="15.75" customHeight="1" x14ac:dyDescent="0.2">
      <c r="A623" s="8">
        <f ca="1">IFERROR(__xludf.DUMMYFUNCTION("""COMPUTED_VALUE"""),45313.4911045717)</f>
        <v>45313.491104571702</v>
      </c>
      <c r="B623" s="1" t="str">
        <f ca="1">IFERROR(__xludf.DUMMYFUNCTION("""COMPUTED_VALUE"""),"CEC")</f>
        <v>CEC</v>
      </c>
      <c r="C623" s="1" t="str">
        <f ca="1">IFERROR(__xludf.DUMMYFUNCTION("""COMPUTED_VALUE"""),"eb537548125th")</f>
        <v>eb537548125th</v>
      </c>
      <c r="D623" s="1" t="str">
        <f ca="1">IFERROR(__xludf.DUMMYFUNCTION("""COMPUTED_VALUE"""),"วัชระ")</f>
        <v>วัชระ</v>
      </c>
      <c r="E623" s="1" t="str">
        <f ca="1">IFERROR(__xludf.DUMMYFUNCTION("""COMPUTED_VALUE"""),"095-7868725")</f>
        <v>095-7868725</v>
      </c>
      <c r="F623" s="1" t="str">
        <f ca="1">IFERROR(__xludf.DUMMYFUNCTION("""COMPUTED_VALUE"""),"29-31 บ.ซันวาเดลทอล ประวิทย์ 4")</f>
        <v>29-31 บ.ซันวาเดลทอล ประวิทย์ 4</v>
      </c>
      <c r="G623" s="1" t="str">
        <f ca="1">IFERROR(__xludf.DUMMYFUNCTION("""COMPUTED_VALUE"""),"นำจ่ายใหม่")</f>
        <v>นำจ่ายใหม่</v>
      </c>
      <c r="H623" s="1" t="str">
        <f ca="1">IFERROR(__xludf.DUMMYFUNCTION("""COMPUTED_VALUE"""),"-")</f>
        <v>-</v>
      </c>
      <c r="I623" s="1" t="str">
        <f ca="1">IFERROR(__xludf.DUMMYFUNCTION("""COMPUTED_VALUE"""),"-")</f>
        <v>-</v>
      </c>
      <c r="J623" s="1" t="str">
        <f ca="1">IFERROR(__xludf.DUMMYFUNCTION("""COMPUTED_VALUE"""),"DB3")</f>
        <v>DB3</v>
      </c>
      <c r="K623" s="1" t="str">
        <f ca="1">IFERROR(__xludf.DUMMYFUNCTION("""COMPUTED_VALUE"""),"ems10260evd3034")</f>
        <v>ems10260evd3034</v>
      </c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 ht="15.75" customHeight="1" x14ac:dyDescent="0.2">
      <c r="A624" s="8">
        <f ca="1">IFERROR(__xludf.DUMMYFUNCTION("""COMPUTED_VALUE"""),45313.4919961921)</f>
        <v>45313.491996192097</v>
      </c>
      <c r="B624" s="1" t="str">
        <f ca="1">IFERROR(__xludf.DUMMYFUNCTION("""COMPUTED_VALUE"""),"CEC")</f>
        <v>CEC</v>
      </c>
      <c r="C624" s="1" t="str">
        <f ca="1">IFERROR(__xludf.DUMMYFUNCTION("""COMPUTED_VALUE"""),"jf176160274th")</f>
        <v>jf176160274th</v>
      </c>
      <c r="D624" s="1" t="str">
        <f ca="1">IFERROR(__xludf.DUMMYFUNCTION("""COMPUTED_VALUE"""),"สิริกานต์")</f>
        <v>สิริกานต์</v>
      </c>
      <c r="E624" s="1" t="str">
        <f ca="1">IFERROR(__xludf.DUMMYFUNCTION("""COMPUTED_VALUE"""),"086-5048862")</f>
        <v>086-5048862</v>
      </c>
      <c r="F624" s="1" t="str">
        <f ca="1">IFERROR(__xludf.DUMMYFUNCTION("""COMPUTED_VALUE"""),"88/6 บ้านเดอะไพร์สเวท สุขุมวิท 97/1")</f>
        <v>88/6 บ้านเดอะไพร์สเวท สุขุมวิท 97/1</v>
      </c>
      <c r="G624" s="1" t="str">
        <f ca="1">IFERROR(__xludf.DUMMYFUNCTION("""COMPUTED_VALUE"""),"ตรวจสอบการนำจ่าย")</f>
        <v>ตรวจสอบการนำจ่าย</v>
      </c>
      <c r="H624" s="1" t="str">
        <f ca="1">IFERROR(__xludf.DUMMYFUNCTION("""COMPUTED_VALUE"""),"-")</f>
        <v>-</v>
      </c>
      <c r="I624" s="1" t="str">
        <f ca="1">IFERROR(__xludf.DUMMYFUNCTION("""COMPUTED_VALUE"""),"-")</f>
        <v>-</v>
      </c>
      <c r="J624" s="1" t="str">
        <f ca="1">IFERROR(__xludf.DUMMYFUNCTION("""COMPUTED_VALUE"""),"DB3")</f>
        <v>DB3</v>
      </c>
      <c r="K624" s="1" t="str">
        <f ca="1">IFERROR(__xludf.DUMMYFUNCTION("""COMPUTED_VALUE"""),"ems10260evd3012")</f>
        <v>ems10260evd3012</v>
      </c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6" ht="15.75" customHeight="1" x14ac:dyDescent="0.2">
      <c r="A625" s="8">
        <f ca="1">IFERROR(__xludf.DUMMYFUNCTION("""COMPUTED_VALUE"""),45313.4930478935)</f>
        <v>45313.493047893498</v>
      </c>
      <c r="B625" s="1" t="str">
        <f ca="1">IFERROR(__xludf.DUMMYFUNCTION("""COMPUTED_VALUE"""),"CEC")</f>
        <v>CEC</v>
      </c>
      <c r="C625" s="1" t="str">
        <f ca="1">IFERROR(__xludf.DUMMYFUNCTION("""COMPUTED_VALUE"""),"ed171319841th")</f>
        <v>ed171319841th</v>
      </c>
      <c r="D625" s="1" t="str">
        <f ca="1">IFERROR(__xludf.DUMMYFUNCTION("""COMPUTED_VALUE"""),"-")</f>
        <v>-</v>
      </c>
      <c r="E625" s="1" t="str">
        <f ca="1">IFERROR(__xludf.DUMMYFUNCTION("""COMPUTED_VALUE"""),"063-6405964 (ปริม)")</f>
        <v>063-6405964 (ปริม)</v>
      </c>
      <c r="F625" s="1" t="str">
        <f ca="1">IFERROR(__xludf.DUMMYFUNCTION("""COMPUTED_VALUE"""),"55 บ.ยูดีเอ็กซ์ ซ.สุขุมวิท 101/1")</f>
        <v>55 บ.ยูดีเอ็กซ์ ซ.สุขุมวิท 101/1</v>
      </c>
      <c r="G625" s="1" t="str">
        <f ca="1">IFERROR(__xludf.DUMMYFUNCTION("""COMPUTED_VALUE"""),"นำจ่ายใหม่")</f>
        <v>นำจ่ายใหม่</v>
      </c>
      <c r="H625" s="1" t="str">
        <f ca="1">IFERROR(__xludf.DUMMYFUNCTION("""COMPUTED_VALUE"""),"-")</f>
        <v>-</v>
      </c>
      <c r="I625" s="1" t="str">
        <f ca="1">IFERROR(__xludf.DUMMYFUNCTION("""COMPUTED_VALUE"""),"-")</f>
        <v>-</v>
      </c>
      <c r="J625" s="1" t="str">
        <f ca="1">IFERROR(__xludf.DUMMYFUNCTION("""COMPUTED_VALUE"""),"DB3")</f>
        <v>DB3</v>
      </c>
      <c r="K625" s="1" t="str">
        <f ca="1">IFERROR(__xludf.DUMMYFUNCTION("""COMPUTED_VALUE"""),"ems10260evd3022")</f>
        <v>ems10260evd3022</v>
      </c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6" ht="15.75" customHeight="1" x14ac:dyDescent="0.2">
      <c r="A626" s="8">
        <f ca="1">IFERROR(__xludf.DUMMYFUNCTION("""COMPUTED_VALUE"""),45313.5027139467)</f>
        <v>45313.502713946698</v>
      </c>
      <c r="B626" s="1" t="str">
        <f ca="1">IFERROR(__xludf.DUMMYFUNCTION("""COMPUTED_VALUE"""),"CEC")</f>
        <v>CEC</v>
      </c>
      <c r="C626" s="1" t="str">
        <f ca="1">IFERROR(__xludf.DUMMYFUNCTION("""COMPUTED_VALUE"""),"eb5858335434th")</f>
        <v>eb5858335434th</v>
      </c>
      <c r="D626" s="1" t="str">
        <f ca="1">IFERROR(__xludf.DUMMYFUNCTION("""COMPUTED_VALUE"""),"ภคมน")</f>
        <v>ภคมน</v>
      </c>
      <c r="E626" s="1" t="str">
        <f ca="1">IFERROR(__xludf.DUMMYFUNCTION("""COMPUTED_VALUE"""),"081-7318181")</f>
        <v>081-7318181</v>
      </c>
      <c r="F626" s="1" t="str">
        <f ca="1">IFERROR(__xludf.DUMMYFUNCTION("""COMPUTED_VALUE"""),"43/38 นิรันดร์คอนโด ตึก เอ็ม พึ่งมี 52 ")</f>
        <v xml:space="preserve">43/38 นิรันดร์คอนโด ตึก เอ็ม พึ่งมี 52 </v>
      </c>
      <c r="G626" s="1" t="str">
        <f ca="1">IFERROR(__xludf.DUMMYFUNCTION("""COMPUTED_VALUE"""),"นำจ่ายใหม่")</f>
        <v>นำจ่ายใหม่</v>
      </c>
      <c r="H626" s="1" t="str">
        <f ca="1">IFERROR(__xludf.DUMMYFUNCTION("""COMPUTED_VALUE"""),"-")</f>
        <v>-</v>
      </c>
      <c r="I626" s="1" t="str">
        <f ca="1">IFERROR(__xludf.DUMMYFUNCTION("""COMPUTED_VALUE"""),"-")</f>
        <v>-</v>
      </c>
      <c r="J626" s="1" t="str">
        <f ca="1">IFERROR(__xludf.DUMMYFUNCTION("""COMPUTED_VALUE"""),"DB3")</f>
        <v>DB3</v>
      </c>
      <c r="K626" s="1" t="str">
        <f ca="1">IFERROR(__xludf.DUMMYFUNCTION("""COMPUTED_VALUE"""),"ems10260evd3006")</f>
        <v>ems10260evd3006</v>
      </c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6" ht="15.75" customHeight="1" x14ac:dyDescent="0.2">
      <c r="A627" s="8">
        <f ca="1">IFERROR(__xludf.DUMMYFUNCTION("""COMPUTED_VALUE"""),45313.5129620949)</f>
        <v>45313.512962094901</v>
      </c>
      <c r="B627" s="1" t="str">
        <f ca="1">IFERROR(__xludf.DUMMYFUNCTION("""COMPUTED_VALUE"""),"CEC")</f>
        <v>CEC</v>
      </c>
      <c r="C627" s="1" t="str">
        <f ca="1">IFERROR(__xludf.DUMMYFUNCTION("""COMPUTED_VALUE"""),"ee846642453tw")</f>
        <v>ee846642453tw</v>
      </c>
      <c r="D627" s="1" t="str">
        <f ca="1">IFERROR(__xludf.DUMMYFUNCTION("""COMPUTED_VALUE"""),"สุภาษิต")</f>
        <v>สุภาษิต</v>
      </c>
      <c r="E627" s="1" t="str">
        <f ca="1">IFERROR(__xludf.DUMMYFUNCTION("""COMPUTED_VALUE"""),"096-8152752")</f>
        <v>096-8152752</v>
      </c>
      <c r="F627" s="1" t="str">
        <f ca="1">IFERROR(__xludf.DUMMYFUNCTION("""COMPUTED_VALUE"""),"288/73 คอนโดรีเจ้นส์โฮม 9 สุขุมวิท 64")</f>
        <v>288/73 คอนโดรีเจ้นส์โฮม 9 สุขุมวิท 64</v>
      </c>
      <c r="G627" s="1" t="str">
        <f ca="1">IFERROR(__xludf.DUMMYFUNCTION("""COMPUTED_VALUE"""),"ตรวจสอบการนำจ่าย")</f>
        <v>ตรวจสอบการนำจ่าย</v>
      </c>
      <c r="H627" s="1" t="str">
        <f ca="1">IFERROR(__xludf.DUMMYFUNCTION("""COMPUTED_VALUE"""),"ต่าง ฯ ด่าน")</f>
        <v>ต่าง ฯ ด่าน</v>
      </c>
      <c r="I627" s="1" t="str">
        <f ca="1">IFERROR(__xludf.DUMMYFUNCTION("""COMPUTED_VALUE"""),"-")</f>
        <v>-</v>
      </c>
      <c r="J627" s="1" t="str">
        <f ca="1">IFERROR(__xludf.DUMMYFUNCTION("""COMPUTED_VALUE"""),"DB4")</f>
        <v>DB4</v>
      </c>
      <c r="K627" s="1" t="str">
        <f ca="1">IFERROR(__xludf.DUMMYFUNCTION("""COMPUTED_VALUE"""),"ems10260evd4005")</f>
        <v>ems10260evd4005</v>
      </c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6" ht="15.75" customHeight="1" x14ac:dyDescent="0.2">
      <c r="A628" s="8">
        <f ca="1">IFERROR(__xludf.DUMMYFUNCTION("""COMPUTED_VALUE"""),45313.5141473958)</f>
        <v>45313.514147395799</v>
      </c>
      <c r="B628" s="1" t="str">
        <f ca="1">IFERROR(__xludf.DUMMYFUNCTION("""COMPUTED_VALUE"""),"CEC")</f>
        <v>CEC</v>
      </c>
      <c r="C628" s="1" t="str">
        <f ca="1">IFERROR(__xludf.DUMMYFUNCTION("""COMPUTED_VALUE"""),"ee846642467tw")</f>
        <v>ee846642467tw</v>
      </c>
      <c r="D628" s="1" t="str">
        <f ca="1">IFERROR(__xludf.DUMMYFUNCTION("""COMPUTED_VALUE"""),"สุภาษิต")</f>
        <v>สุภาษิต</v>
      </c>
      <c r="E628" s="1" t="str">
        <f ca="1">IFERROR(__xludf.DUMMYFUNCTION("""COMPUTED_VALUE"""),"096-8152752")</f>
        <v>096-8152752</v>
      </c>
      <c r="F628" s="1" t="str">
        <f ca="1">IFERROR(__xludf.DUMMYFUNCTION("""COMPUTED_VALUE"""),"288/73 รีเจ้นส์โฮม 9 สุขุมวิท 64")</f>
        <v>288/73 รีเจ้นส์โฮม 9 สุขุมวิท 64</v>
      </c>
      <c r="G628" s="1" t="str">
        <f ca="1">IFERROR(__xludf.DUMMYFUNCTION("""COMPUTED_VALUE"""),"ตรวจสอบการนำจ่าย")</f>
        <v>ตรวจสอบการนำจ่าย</v>
      </c>
      <c r="H628" s="1" t="str">
        <f ca="1">IFERROR(__xludf.DUMMYFUNCTION("""COMPUTED_VALUE"""),"ต่าง ฯ ด่าน")</f>
        <v>ต่าง ฯ ด่าน</v>
      </c>
      <c r="I628" s="1" t="str">
        <f ca="1">IFERROR(__xludf.DUMMYFUNCTION("""COMPUTED_VALUE"""),"-")</f>
        <v>-</v>
      </c>
      <c r="J628" s="1" t="str">
        <f ca="1">IFERROR(__xludf.DUMMYFUNCTION("""COMPUTED_VALUE"""),"DB4")</f>
        <v>DB4</v>
      </c>
      <c r="K628" s="1" t="str">
        <f ca="1">IFERROR(__xludf.DUMMYFUNCTION("""COMPUTED_VALUE"""),"emd10260evd4005")</f>
        <v>emd10260evd4005</v>
      </c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6" ht="15.75" customHeight="1" x14ac:dyDescent="0.2">
      <c r="A629" s="8">
        <f ca="1">IFERROR(__xludf.DUMMYFUNCTION("""COMPUTED_VALUE"""),45313.5586416898)</f>
        <v>45313.5586416898</v>
      </c>
      <c r="B629" s="1" t="str">
        <f ca="1">IFERROR(__xludf.DUMMYFUNCTION("""COMPUTED_VALUE"""),"CEC")</f>
        <v>CEC</v>
      </c>
      <c r="C629" s="1" t="str">
        <f ca="1">IFERROR(__xludf.DUMMYFUNCTION("""COMPUTED_VALUE"""),"ea922942297th")</f>
        <v>ea922942297th</v>
      </c>
      <c r="D629" s="1" t="str">
        <f ca="1">IFERROR(__xludf.DUMMYFUNCTION("""COMPUTED_VALUE"""),"สุภาพร")</f>
        <v>สุภาพร</v>
      </c>
      <c r="E629" s="1" t="str">
        <f ca="1">IFERROR(__xludf.DUMMYFUNCTION("""COMPUTED_VALUE"""),"063-5895055")</f>
        <v>063-5895055</v>
      </c>
      <c r="F629" s="1" t="str">
        <f ca="1">IFERROR(__xludf.DUMMYFUNCTION("""COMPUTED_VALUE"""),"979/71 ซอย.อุดมสุข 35 ซ.103")</f>
        <v>979/71 ซอย.อุดมสุข 35 ซ.103</v>
      </c>
      <c r="G629" s="1" t="str">
        <f ca="1">IFERROR(__xludf.DUMMYFUNCTION("""COMPUTED_VALUE"""),"นำจ่ายใหม่")</f>
        <v>นำจ่ายใหม่</v>
      </c>
      <c r="H629" s="1" t="str">
        <f ca="1">IFERROR(__xludf.DUMMYFUNCTION("""COMPUTED_VALUE"""),"COD.560 บาท")</f>
        <v>COD.560 บาท</v>
      </c>
      <c r="I629" s="1" t="str">
        <f ca="1">IFERROR(__xludf.DUMMYFUNCTION("""COMPUTED_VALUE"""),"-")</f>
        <v>-</v>
      </c>
      <c r="J629" s="1" t="str">
        <f ca="1">IFERROR(__xludf.DUMMYFUNCTION("""COMPUTED_VALUE"""),"DB3")</f>
        <v>DB3</v>
      </c>
      <c r="K629" s="1" t="str">
        <f ca="1">IFERROR(__xludf.DUMMYFUNCTION("""COMPUTED_VALUE"""),"ems10260evd3037")</f>
        <v>ems10260evd3037</v>
      </c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6" ht="15.75" customHeight="1" x14ac:dyDescent="0.2">
      <c r="A630" s="8">
        <f ca="1">IFERROR(__xludf.DUMMYFUNCTION("""COMPUTED_VALUE"""),45313.594542199)</f>
        <v>45313.594542199004</v>
      </c>
      <c r="B630" s="1" t="str">
        <f ca="1">IFERROR(__xludf.DUMMYFUNCTION("""COMPUTED_VALUE"""),"CEC")</f>
        <v>CEC</v>
      </c>
      <c r="C630" s="1" t="str">
        <f ca="1">IFERROR(__xludf.DUMMYFUNCTION("""COMPUTED_VALUE"""),"ed182208926th")</f>
        <v>ed182208926th</v>
      </c>
      <c r="D630" s="1" t="str">
        <f ca="1">IFERROR(__xludf.DUMMYFUNCTION("""COMPUTED_VALUE"""),"ทองลา")</f>
        <v>ทองลา</v>
      </c>
      <c r="E630" s="1" t="str">
        <f ca="1">IFERROR(__xludf.DUMMYFUNCTION("""COMPUTED_VALUE"""),"095-9349134")</f>
        <v>095-9349134</v>
      </c>
      <c r="F630" s="1" t="str">
        <f ca="1">IFERROR(__xludf.DUMMYFUNCTION("""COMPUTED_VALUE"""),"2024/49 ริมทางรถไฟเก่า ")</f>
        <v xml:space="preserve">2024/49 ริมทางรถไฟเก่า </v>
      </c>
      <c r="G630" s="1" t="str">
        <f ca="1">IFERROR(__xludf.DUMMYFUNCTION("""COMPUTED_VALUE"""),"ตรวจสอบการนำจ่าย")</f>
        <v>ตรวจสอบการนำจ่าย</v>
      </c>
      <c r="H630" s="1" t="str">
        <f ca="1">IFERROR(__xludf.DUMMYFUNCTION("""COMPUTED_VALUE"""),"-")</f>
        <v>-</v>
      </c>
      <c r="I630" s="1" t="str">
        <f ca="1">IFERROR(__xludf.DUMMYFUNCTION("""COMPUTED_VALUE"""),"-")</f>
        <v>-</v>
      </c>
      <c r="J630" s="1" t="str">
        <f ca="1">IFERROR(__xludf.DUMMYFUNCTION("""COMPUTED_VALUE"""),"นำจ่ายรถยนต์")</f>
        <v>นำจ่ายรถยนต์</v>
      </c>
      <c r="K630" s="1" t="str">
        <f ca="1">IFERROR(__xludf.DUMMYFUNCTION("""COMPUTED_VALUE"""),"car10260evd5002")</f>
        <v>car10260evd5002</v>
      </c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6" ht="15.75" customHeight="1" x14ac:dyDescent="0.2">
      <c r="A631" s="8">
        <f ca="1">IFERROR(__xludf.DUMMYFUNCTION("""COMPUTED_VALUE"""),45313.6081219328)</f>
        <v>45313.608121932797</v>
      </c>
      <c r="B631" s="1" t="str">
        <f ca="1">IFERROR(__xludf.DUMMYFUNCTION("""COMPUTED_VALUE"""),"CEC")</f>
        <v>CEC</v>
      </c>
      <c r="C631" s="1" t="str">
        <f ca="1">IFERROR(__xludf.DUMMYFUNCTION("""COMPUTED_VALUE"""),"ed167835340th")</f>
        <v>ed167835340th</v>
      </c>
      <c r="D631" s="1" t="str">
        <f ca="1">IFERROR(__xludf.DUMMYFUNCTION("""COMPUTED_VALUE"""),"ทรงรพี")</f>
        <v>ทรงรพี</v>
      </c>
      <c r="E631" s="1" t="str">
        <f ca="1">IFERROR(__xludf.DUMMYFUNCTION("""COMPUTED_VALUE"""),"098-4149451")</f>
        <v>098-4149451</v>
      </c>
      <c r="F631" s="1" t="str">
        <f ca="1">IFERROR(__xludf.DUMMYFUNCTION("""COMPUTED_VALUE"""),"148/29 แฟลตทหารเรือบางนา สรรพาวุธ")</f>
        <v>148/29 แฟลตทหารเรือบางนา สรรพาวุธ</v>
      </c>
      <c r="G631" s="1" t="str">
        <f ca="1">IFERROR(__xludf.DUMMYFUNCTION("""COMPUTED_VALUE"""),"ตรวจสอบการนำจ่าย")</f>
        <v>ตรวจสอบการนำจ่าย</v>
      </c>
      <c r="H631" s="1" t="str">
        <f ca="1">IFERROR(__xludf.DUMMYFUNCTION("""COMPUTED_VALUE"""),"-")</f>
        <v>-</v>
      </c>
      <c r="I631" s="1" t="str">
        <f ca="1">IFERROR(__xludf.DUMMYFUNCTION("""COMPUTED_VALUE"""),"-")</f>
        <v>-</v>
      </c>
      <c r="J631" s="1" t="str">
        <f ca="1">IFERROR(__xludf.DUMMYFUNCTION("""COMPUTED_VALUE"""),"นำจ่ายรถยนต์")</f>
        <v>นำจ่ายรถยนต์</v>
      </c>
      <c r="K631" s="1" t="str">
        <f ca="1">IFERROR(__xludf.DUMMYFUNCTION("""COMPUTED_VALUE"""),"car10260evd")</f>
        <v>car10260evd</v>
      </c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6" ht="15.75" customHeight="1" x14ac:dyDescent="0.2">
      <c r="A632" s="8">
        <f ca="1">IFERROR(__xludf.DUMMYFUNCTION("""COMPUTED_VALUE"""),45313.6439994791)</f>
        <v>45313.6439994791</v>
      </c>
      <c r="B632" s="1" t="str">
        <f ca="1">IFERROR(__xludf.DUMMYFUNCTION("""COMPUTED_VALUE"""),"CEC")</f>
        <v>CEC</v>
      </c>
      <c r="C632" s="1" t="str">
        <f ca="1">IFERROR(__xludf.DUMMYFUNCTION("""COMPUTED_VALUE"""),"ea922904965th")</f>
        <v>ea922904965th</v>
      </c>
      <c r="D632" s="1" t="str">
        <f ca="1">IFERROR(__xludf.DUMMYFUNCTION("""COMPUTED_VALUE"""),"ชลิตา")</f>
        <v>ชลิตา</v>
      </c>
      <c r="E632" s="1" t="str">
        <f ca="1">IFERROR(__xludf.DUMMYFUNCTION("""COMPUTED_VALUE"""),"080-6242156 รับ / 083-4684285 ส่ง")</f>
        <v>080-6242156 รับ / 083-4684285 ส่ง</v>
      </c>
      <c r="F632" s="1" t="str">
        <f ca="1">IFERROR(__xludf.DUMMYFUNCTION("""COMPUTED_VALUE"""),"112/653 ชั่น1 หลังที่ 4 บางนาตราด46")</f>
        <v>112/653 ชั่น1 หลังที่ 4 บางนาตราด46</v>
      </c>
      <c r="G632" s="1" t="str">
        <f ca="1">IFERROR(__xludf.DUMMYFUNCTION("""COMPUTED_VALUE"""),"นำจ่ายใหม่")</f>
        <v>นำจ่ายใหม่</v>
      </c>
      <c r="H632" s="1" t="str">
        <f ca="1">IFERROR(__xludf.DUMMYFUNCTION("""COMPUTED_VALUE"""),"COD.270 บาท")</f>
        <v>COD.270 บาท</v>
      </c>
      <c r="I632" s="1" t="str">
        <f ca="1">IFERROR(__xludf.DUMMYFUNCTION("""COMPUTED_VALUE"""),"-")</f>
        <v>-</v>
      </c>
      <c r="J632" s="1" t="str">
        <f ca="1">IFERROR(__xludf.DUMMYFUNCTION("""COMPUTED_VALUE"""),"DB1")</f>
        <v>DB1</v>
      </c>
      <c r="K632" s="1" t="str">
        <f ca="1">IFERROR(__xludf.DUMMYFUNCTION("""COMPUTED_VALUE"""),"ems10260evd1029")</f>
        <v>ems10260evd1029</v>
      </c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6" ht="15.75" customHeight="1" x14ac:dyDescent="0.2">
      <c r="A633" s="8">
        <f ca="1">IFERROR(__xludf.DUMMYFUNCTION("""COMPUTED_VALUE"""),45313.6670521875)</f>
        <v>45313.667052187498</v>
      </c>
      <c r="B633" s="1" t="str">
        <f ca="1">IFERROR(__xludf.DUMMYFUNCTION("""COMPUTED_VALUE"""),"CEC")</f>
        <v>CEC</v>
      </c>
      <c r="C633" s="1" t="str">
        <f ca="1">IFERROR(__xludf.DUMMYFUNCTION("""COMPUTED_VALUE"""),"ea922321602th")</f>
        <v>ea922321602th</v>
      </c>
      <c r="D633" s="1" t="str">
        <f ca="1">IFERROR(__xludf.DUMMYFUNCTION("""COMPUTED_VALUE"""),"ชนิด")</f>
        <v>ชนิด</v>
      </c>
      <c r="E633" s="1" t="str">
        <f ca="1">IFERROR(__xludf.DUMMYFUNCTION("""COMPUTED_VALUE"""),"091-7346548")</f>
        <v>091-7346548</v>
      </c>
      <c r="F633" s="1" t="str">
        <f ca="1">IFERROR(__xludf.DUMMYFUNCTION("""COMPUTED_VALUE"""),"19 ซอย.ลาซาน 26 สุขุมวิท 105")</f>
        <v>19 ซอย.ลาซาน 26 สุขุมวิท 105</v>
      </c>
      <c r="G633" s="1" t="str">
        <f ca="1">IFERROR(__xludf.DUMMYFUNCTION("""COMPUTED_VALUE"""),"นำจ่ายใหม่")</f>
        <v>นำจ่ายใหม่</v>
      </c>
      <c r="H633" s="1" t="str">
        <f ca="1">IFERROR(__xludf.DUMMYFUNCTION("""COMPUTED_VALUE"""),"COD.199 บาท")</f>
        <v>COD.199 บาท</v>
      </c>
      <c r="I633" s="1" t="str">
        <f ca="1">IFERROR(__xludf.DUMMYFUNCTION("""COMPUTED_VALUE"""),"-")</f>
        <v>-</v>
      </c>
      <c r="J633" s="1" t="str">
        <f ca="1">IFERROR(__xludf.DUMMYFUNCTION("""COMPUTED_VALUE"""),"DB1")</f>
        <v>DB1</v>
      </c>
      <c r="K633" s="1" t="str">
        <f ca="1">IFERROR(__xludf.DUMMYFUNCTION("""COMPUTED_VALUE"""),"ems10260evd1017")</f>
        <v>ems10260evd1017</v>
      </c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6" ht="15.75" customHeight="1" x14ac:dyDescent="0.2">
      <c r="A634" s="8">
        <f ca="1">IFERROR(__xludf.DUMMYFUNCTION("""COMPUTED_VALUE"""),45313.6680433912)</f>
        <v>45313.668043391197</v>
      </c>
      <c r="B634" s="1" t="str">
        <f ca="1">IFERROR(__xludf.DUMMYFUNCTION("""COMPUTED_VALUE"""),"CEC")</f>
        <v>CEC</v>
      </c>
      <c r="C634" s="1" t="str">
        <f ca="1">IFERROR(__xludf.DUMMYFUNCTION("""COMPUTED_VALUE"""),"ea155248903th")</f>
        <v>ea155248903th</v>
      </c>
      <c r="D634" s="1" t="str">
        <f ca="1">IFERROR(__xludf.DUMMYFUNCTION("""COMPUTED_VALUE"""),"สุภาวดี")</f>
        <v>สุภาวดี</v>
      </c>
      <c r="E634" s="1" t="str">
        <f ca="1">IFERROR(__xludf.DUMMYFUNCTION("""COMPUTED_VALUE"""),"065-6651429")</f>
        <v>065-6651429</v>
      </c>
      <c r="F634" s="1" t="str">
        <f ca="1">IFERROR(__xludf.DUMMYFUNCTION("""COMPUTED_VALUE"""),"2106 บ.ดี เค เอส เอช สุขุมวิท")</f>
        <v>2106 บ.ดี เค เอส เอช สุขุมวิท</v>
      </c>
      <c r="G634" s="1" t="str">
        <f ca="1">IFERROR(__xludf.DUMMYFUNCTION("""COMPUTED_VALUE"""),"ตรวจสอบการนำจ่าย")</f>
        <v>ตรวจสอบการนำจ่าย</v>
      </c>
      <c r="H634" s="1" t="str">
        <f ca="1">IFERROR(__xludf.DUMMYFUNCTION("""COMPUTED_VALUE"""),"-")</f>
        <v>-</v>
      </c>
      <c r="I634" s="1" t="str">
        <f ca="1">IFERROR(__xludf.DUMMYFUNCTION("""COMPUTED_VALUE"""),"-")</f>
        <v>-</v>
      </c>
      <c r="J634" s="1" t="str">
        <f ca="1">IFERROR(__xludf.DUMMYFUNCTION("""COMPUTED_VALUE"""),"นำจ่ายรถยนต์")</f>
        <v>นำจ่ายรถยนต์</v>
      </c>
      <c r="K634" s="1" t="str">
        <f ca="1">IFERROR(__xludf.DUMMYFUNCTION("""COMPUTED_VALUE"""),"car10260evd5001")</f>
        <v>car10260evd5001</v>
      </c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6" ht="15.75" customHeight="1" x14ac:dyDescent="0.2">
      <c r="A635" s="9">
        <f ca="1">IFERROR(__xludf.DUMMYFUNCTION("""COMPUTED_VALUE"""),45314.4606287615)</f>
        <v>45314.460628761502</v>
      </c>
      <c r="B635" s="1" t="str">
        <f ca="1">IFERROR(__xludf.DUMMYFUNCTION("""COMPUTED_VALUE"""),"CEC")</f>
        <v>CEC</v>
      </c>
      <c r="C635" s="1" t="str">
        <f ca="1">IFERROR(__xludf.DUMMYFUNCTION("""COMPUTED_VALUE"""),"ob237471555th")</f>
        <v>ob237471555th</v>
      </c>
      <c r="D635" s="1" t="str">
        <f ca="1">IFERROR(__xludf.DUMMYFUNCTION("""COMPUTED_VALUE"""),"วิภาวดี")</f>
        <v>วิภาวดี</v>
      </c>
      <c r="E635" s="1" t="str">
        <f ca="1">IFERROR(__xludf.DUMMYFUNCTION("""COMPUTED_VALUE"""),"098-5923599")</f>
        <v>098-5923599</v>
      </c>
      <c r="F635" s="1" t="str">
        <f ca="1">IFERROR(__xludf.DUMMYFUNCTION("""COMPUTED_VALUE"""),"23 ศูนย์บริการสาธารณะสุข ลาซาน 27")</f>
        <v>23 ศูนย์บริการสาธารณะสุข ลาซาน 27</v>
      </c>
      <c r="G635" s="1" t="str">
        <f ca="1">IFERROR(__xludf.DUMMYFUNCTION("""COMPUTED_VALUE"""),"นำจ่ายใหม่")</f>
        <v>นำจ่ายใหม่</v>
      </c>
      <c r="H635" s="1" t="str">
        <f ca="1">IFERROR(__xludf.DUMMYFUNCTION("""COMPUTED_VALUE"""),"-")</f>
        <v>-</v>
      </c>
      <c r="I635" s="1" t="str">
        <f ca="1">IFERROR(__xludf.DUMMYFUNCTION("""COMPUTED_VALUE"""),"-")</f>
        <v>-</v>
      </c>
      <c r="J635" s="1" t="str">
        <f ca="1">IFERROR(__xludf.DUMMYFUNCTION("""COMPUTED_VALUE"""),"DB1")</f>
        <v>DB1</v>
      </c>
      <c r="K635" s="1" t="str">
        <f ca="1">IFERROR(__xludf.DUMMYFUNCTION("""COMPUTED_VALUE"""),"ems10260evd1022")</f>
        <v>ems10260evd1022</v>
      </c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6" ht="15.75" customHeight="1" x14ac:dyDescent="0.2">
      <c r="A636" s="9">
        <f ca="1">IFERROR(__xludf.DUMMYFUNCTION("""COMPUTED_VALUE"""),45314.4624692129)</f>
        <v>45314.4624692129</v>
      </c>
      <c r="B636" s="10" t="str">
        <f ca="1">IFERROR(__xludf.DUMMYFUNCTION("""COMPUTED_VALUE"""),"CEC")</f>
        <v>CEC</v>
      </c>
      <c r="C636" s="10" t="str">
        <f ca="1">IFERROR(__xludf.DUMMYFUNCTION("""COMPUTED_VALUE"""),"ey629353487th")</f>
        <v>ey629353487th</v>
      </c>
      <c r="D636" s="10" t="str">
        <f ca="1">IFERROR(__xludf.DUMMYFUNCTION("""COMPUTED_VALUE"""),"ศิริวิทย์")</f>
        <v>ศิริวิทย์</v>
      </c>
      <c r="E636" s="10" t="str">
        <f ca="1">IFERROR(__xludf.DUMMYFUNCTION("""COMPUTED_VALUE"""),"093-7781912")</f>
        <v>093-7781912</v>
      </c>
      <c r="F636" s="10" t="str">
        <f ca="1">IFERROR(__xludf.DUMMYFUNCTION("""COMPUTED_VALUE"""),"295/55 รีเจ้นส์ออคิด สุขุมวิท101")</f>
        <v>295/55 รีเจ้นส์ออคิด สุขุมวิท101</v>
      </c>
      <c r="G636" s="10" t="str">
        <f ca="1">IFERROR(__xludf.DUMMYFUNCTION("""COMPUTED_VALUE"""),"ตรวจสอบการนำจ่าย")</f>
        <v>ตรวจสอบการนำจ่าย</v>
      </c>
      <c r="H636" s="10" t="str">
        <f ca="1">IFERROR(__xludf.DUMMYFUNCTION("""COMPUTED_VALUE"""),"-")</f>
        <v>-</v>
      </c>
      <c r="I636" s="10" t="str">
        <f ca="1">IFERROR(__xludf.DUMMYFUNCTION("""COMPUTED_VALUE"""),"-")</f>
        <v>-</v>
      </c>
      <c r="J636" s="10" t="str">
        <f ca="1">IFERROR(__xludf.DUMMYFUNCTION("""COMPUTED_VALUE"""),"นำจ่ายรถยนต์")</f>
        <v>นำจ่ายรถยนต์</v>
      </c>
      <c r="K636" s="10" t="str">
        <f ca="1">IFERROR(__xludf.DUMMYFUNCTION("""COMPUTED_VALUE"""),"car10260evd5012")</f>
        <v>car10260evd5012</v>
      </c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5.75" customHeight="1" x14ac:dyDescent="0.2">
      <c r="A637" s="9">
        <f ca="1">IFERROR(__xludf.DUMMYFUNCTION("""COMPUTED_VALUE"""),45314.463740949)</f>
        <v>45314.463740949002</v>
      </c>
      <c r="B637" s="10" t="str">
        <f ca="1">IFERROR(__xludf.DUMMYFUNCTION("""COMPUTED_VALUE"""),"CEC")</f>
        <v>CEC</v>
      </c>
      <c r="C637" s="10" t="str">
        <f ca="1">IFERROR(__xludf.DUMMYFUNCTION("""COMPUTED_VALUE"""),"eb962102154th")</f>
        <v>eb962102154th</v>
      </c>
      <c r="D637" s="10" t="str">
        <f ca="1">IFERROR(__xludf.DUMMYFUNCTION("""COMPUTED_VALUE"""),"ชยวกร")</f>
        <v>ชยวกร</v>
      </c>
      <c r="E637" s="10" t="str">
        <f ca="1">IFERROR(__xludf.DUMMYFUNCTION("""COMPUTED_VALUE"""),"088-1715477")</f>
        <v>088-1715477</v>
      </c>
      <c r="F637" s="10" t="str">
        <f ca="1">IFERROR(__xludf.DUMMYFUNCTION("""COMPUTED_VALUE"""),"229/507 ระหว่าง ซ.ปุณณ 7-9 ซ.101")</f>
        <v>229/507 ระหว่าง ซ.ปุณณ 7-9 ซ.101</v>
      </c>
      <c r="G637" s="10" t="str">
        <f ca="1">IFERROR(__xludf.DUMMYFUNCTION("""COMPUTED_VALUE"""),"ตรวจสอบการนำจ่าย")</f>
        <v>ตรวจสอบการนำจ่าย</v>
      </c>
      <c r="H637" s="10" t="str">
        <f ca="1">IFERROR(__xludf.DUMMYFUNCTION("""COMPUTED_VALUE"""),"-")</f>
        <v>-</v>
      </c>
      <c r="I637" s="10" t="str">
        <f ca="1">IFERROR(__xludf.DUMMYFUNCTION("""COMPUTED_VALUE"""),"-")</f>
        <v>-</v>
      </c>
      <c r="J637" s="10" t="str">
        <f ca="1">IFERROR(__xludf.DUMMYFUNCTION("""COMPUTED_VALUE"""),"นำจ่ายรถยนต์")</f>
        <v>นำจ่ายรถยนต์</v>
      </c>
      <c r="K637" s="10" t="str">
        <f ca="1">IFERROR(__xludf.DUMMYFUNCTION("""COMPUTED_VALUE"""),"car10260evd5012")</f>
        <v>car10260evd5012</v>
      </c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5.75" customHeight="1" x14ac:dyDescent="0.2">
      <c r="A638" s="9">
        <f ca="1">IFERROR(__xludf.DUMMYFUNCTION("""COMPUTED_VALUE"""),45314.4650782175)</f>
        <v>45314.465078217501</v>
      </c>
      <c r="B638" s="10" t="str">
        <f ca="1">IFERROR(__xludf.DUMMYFUNCTION("""COMPUTED_VALUE"""),"CEC")</f>
        <v>CEC</v>
      </c>
      <c r="C638" s="10" t="str">
        <f ca="1">IFERROR(__xludf.DUMMYFUNCTION("""COMPUTED_VALUE"""),"ed167835340th")</f>
        <v>ed167835340th</v>
      </c>
      <c r="D638" s="10" t="str">
        <f ca="1">IFERROR(__xludf.DUMMYFUNCTION("""COMPUTED_VALUE"""),"ทรงรพี")</f>
        <v>ทรงรพี</v>
      </c>
      <c r="E638" s="10" t="str">
        <f ca="1">IFERROR(__xludf.DUMMYFUNCTION("""COMPUTED_VALUE"""),"098-4149451")</f>
        <v>098-4149451</v>
      </c>
      <c r="F638" s="10" t="str">
        <f ca="1">IFERROR(__xludf.DUMMYFUNCTION("""COMPUTED_VALUE"""),"148/29 แฟลตทหารเรือบางนา สรรพาวุธ")</f>
        <v>148/29 แฟลตทหารเรือบางนา สรรพาวุธ</v>
      </c>
      <c r="G638" s="10" t="str">
        <f ca="1">IFERROR(__xludf.DUMMYFUNCTION("""COMPUTED_VALUE"""),"ตรวจสอบการนำจ่าย")</f>
        <v>ตรวจสอบการนำจ่าย</v>
      </c>
      <c r="H638" s="10" t="str">
        <f ca="1">IFERROR(__xludf.DUMMYFUNCTION("""COMPUTED_VALUE"""),"-")</f>
        <v>-</v>
      </c>
      <c r="I638" s="10" t="str">
        <f ca="1">IFERROR(__xludf.DUMMYFUNCTION("""COMPUTED_VALUE"""),"-")</f>
        <v>-</v>
      </c>
      <c r="J638" s="10" t="str">
        <f ca="1">IFERROR(__xludf.DUMMYFUNCTION("""COMPUTED_VALUE"""),"นำจ่ายรถยนต์")</f>
        <v>นำจ่ายรถยนต์</v>
      </c>
      <c r="K638" s="10" t="str">
        <f ca="1">IFERROR(__xludf.DUMMYFUNCTION("""COMPUTED_VALUE"""),"car10260evd5004")</f>
        <v>car10260evd5004</v>
      </c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5.75" customHeight="1" x14ac:dyDescent="0.2">
      <c r="A639" s="9">
        <f ca="1">IFERROR(__xludf.DUMMYFUNCTION("""COMPUTED_VALUE"""),45314.4692078703)</f>
        <v>45314.469207870301</v>
      </c>
      <c r="B639" s="10" t="str">
        <f ca="1">IFERROR(__xludf.DUMMYFUNCTION("""COMPUTED_VALUE"""),"CEC")</f>
        <v>CEC</v>
      </c>
      <c r="C639" s="10" t="str">
        <f ca="1">IFERROR(__xludf.DUMMYFUNCTION("""COMPUTED_VALUE"""),"ed247430459th")</f>
        <v>ed247430459th</v>
      </c>
      <c r="D639" s="10" t="str">
        <f ca="1">IFERROR(__xludf.DUMMYFUNCTION("""COMPUTED_VALUE"""),"ประโมทย์")</f>
        <v>ประโมทย์</v>
      </c>
      <c r="E639" s="10" t="str">
        <f ca="1">IFERROR(__xludf.DUMMYFUNCTION("""COMPUTED_VALUE"""),"085-1508690")</f>
        <v>085-1508690</v>
      </c>
      <c r="F639" s="10" t="str">
        <f ca="1">IFERROR(__xludf.DUMMYFUNCTION("""COMPUTED_VALUE"""),"112/843 การเคหะบางนา บางนาตราด46")</f>
        <v>112/843 การเคหะบางนา บางนาตราด46</v>
      </c>
      <c r="G639" s="10" t="str">
        <f ca="1">IFERROR(__xludf.DUMMYFUNCTION("""COMPUTED_VALUE"""),"นำจ่ายใหม่")</f>
        <v>นำจ่ายใหม่</v>
      </c>
      <c r="H639" s="10" t="str">
        <f ca="1">IFERROR(__xludf.DUMMYFUNCTION("""COMPUTED_VALUE"""),"-")</f>
        <v>-</v>
      </c>
      <c r="I639" s="10" t="str">
        <f ca="1">IFERROR(__xludf.DUMMYFUNCTION("""COMPUTED_VALUE"""),"-")</f>
        <v>-</v>
      </c>
      <c r="J639" s="10" t="str">
        <f ca="1">IFERROR(__xludf.DUMMYFUNCTION("""COMPUTED_VALUE"""),"DB1")</f>
        <v>DB1</v>
      </c>
      <c r="K639" s="10" t="str">
        <f ca="1">IFERROR(__xludf.DUMMYFUNCTION("""COMPUTED_VALUE"""),"ems10260evd1030")</f>
        <v>ems10260evd1030</v>
      </c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5.75" customHeight="1" x14ac:dyDescent="0.2">
      <c r="A640" s="9">
        <f ca="1">IFERROR(__xludf.DUMMYFUNCTION("""COMPUTED_VALUE"""),45314.4706242013)</f>
        <v>45314.470624201298</v>
      </c>
      <c r="B640" s="10" t="str">
        <f ca="1">IFERROR(__xludf.DUMMYFUNCTION("""COMPUTED_VALUE"""),"CEC")</f>
        <v>CEC</v>
      </c>
      <c r="C640" s="10" t="str">
        <f ca="1">IFERROR(__xludf.DUMMYFUNCTION("""COMPUTED_VALUE"""),"ed182208926th")</f>
        <v>ed182208926th</v>
      </c>
      <c r="D640" s="10" t="str">
        <f ca="1">IFERROR(__xludf.DUMMYFUNCTION("""COMPUTED_VALUE"""),"ทองลา")</f>
        <v>ทองลา</v>
      </c>
      <c r="E640" s="10" t="str">
        <f ca="1">IFERROR(__xludf.DUMMYFUNCTION("""COMPUTED_VALUE"""),"093-5792686")</f>
        <v>093-5792686</v>
      </c>
      <c r="F640" s="10" t="str">
        <f ca="1">IFERROR(__xludf.DUMMYFUNCTION("""COMPUTED_VALUE"""),"2024/49 ริมทางรถไฟเก่า")</f>
        <v>2024/49 ริมทางรถไฟเก่า</v>
      </c>
      <c r="G640" s="10" t="str">
        <f ca="1">IFERROR(__xludf.DUMMYFUNCTION("""COMPUTED_VALUE"""),"ตรวจสอบการนำจ่าย")</f>
        <v>ตรวจสอบการนำจ่าย</v>
      </c>
      <c r="H640" s="10" t="str">
        <f ca="1">IFERROR(__xludf.DUMMYFUNCTION("""COMPUTED_VALUE"""),"-")</f>
        <v>-</v>
      </c>
      <c r="I640" s="10" t="str">
        <f ca="1">IFERROR(__xludf.DUMMYFUNCTION("""COMPUTED_VALUE"""),"-")</f>
        <v>-</v>
      </c>
      <c r="J640" s="10" t="str">
        <f ca="1">IFERROR(__xludf.DUMMYFUNCTION("""COMPUTED_VALUE"""),"นำจ่ายรถยนต์")</f>
        <v>นำจ่ายรถยนต์</v>
      </c>
      <c r="K640" s="10" t="str">
        <f ca="1">IFERROR(__xludf.DUMMYFUNCTION("""COMPUTED_VALUE"""),"car10260ems5002")</f>
        <v>car10260ems5002</v>
      </c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5.75" customHeight="1" x14ac:dyDescent="0.2">
      <c r="A641" s="9">
        <f ca="1">IFERROR(__xludf.DUMMYFUNCTION("""COMPUTED_VALUE"""),45314.4720444444)</f>
        <v>45314.472044444403</v>
      </c>
      <c r="B641" s="10" t="str">
        <f ca="1">IFERROR(__xludf.DUMMYFUNCTION("""COMPUTED_VALUE"""),"On Queue")</f>
        <v>On Queue</v>
      </c>
      <c r="C641" s="10" t="str">
        <f ca="1">IFERROR(__xludf.DUMMYFUNCTION("""COMPUTED_VALUE"""),"ed183203939th")</f>
        <v>ed183203939th</v>
      </c>
      <c r="D641" s="10" t="str">
        <f ca="1">IFERROR(__xludf.DUMMYFUNCTION("""COMPUTED_VALUE"""),"พีรพรรณ")</f>
        <v>พีรพรรณ</v>
      </c>
      <c r="E641" s="10" t="str">
        <f ca="1">IFERROR(__xludf.DUMMYFUNCTION("""COMPUTED_VALUE"""),"098-4628716")</f>
        <v>098-4628716</v>
      </c>
      <c r="F641" s="10" t="str">
        <f ca="1">IFERROR(__xludf.DUMMYFUNCTION("""COMPUTED_VALUE"""),"23 บ.เจ เอส วิชั่น บางนาตราด25")</f>
        <v>23 บ.เจ เอส วิชั่น บางนาตราด25</v>
      </c>
      <c r="G641" s="10" t="str">
        <f ca="1">IFERROR(__xludf.DUMMYFUNCTION("""COMPUTED_VALUE"""),"ตรวจสอบการนำจ่าย")</f>
        <v>ตรวจสอบการนำจ่าย</v>
      </c>
      <c r="H641" s="10" t="str">
        <f ca="1">IFERROR(__xludf.DUMMYFUNCTION("""COMPUTED_VALUE"""),"-")</f>
        <v>-</v>
      </c>
      <c r="I641" s="10" t="str">
        <f ca="1">IFERROR(__xludf.DUMMYFUNCTION("""COMPUTED_VALUE"""),"-")</f>
        <v>-</v>
      </c>
      <c r="J641" s="10" t="str">
        <f ca="1">IFERROR(__xludf.DUMMYFUNCTION("""COMPUTED_VALUE"""),"DB2")</f>
        <v>DB2</v>
      </c>
      <c r="K641" s="10" t="str">
        <f ca="1">IFERROR(__xludf.DUMMYFUNCTION("""COMPUTED_VALUE"""),"ems10260evd2023")</f>
        <v>ems10260evd2023</v>
      </c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5.75" customHeight="1" x14ac:dyDescent="0.2">
      <c r="A642" s="9">
        <f ca="1">IFERROR(__xludf.DUMMYFUNCTION("""COMPUTED_VALUE"""),45314.4736413773)</f>
        <v>45314.473641377299</v>
      </c>
      <c r="B642" s="10" t="str">
        <f ca="1">IFERROR(__xludf.DUMMYFUNCTION("""COMPUTED_VALUE"""),"CEC")</f>
        <v>CEC</v>
      </c>
      <c r="C642" s="10" t="str">
        <f ca="1">IFERROR(__xludf.DUMMYFUNCTION("""COMPUTED_VALUE"""),"rl877388566th")</f>
        <v>rl877388566th</v>
      </c>
      <c r="D642" s="10" t="str">
        <f ca="1">IFERROR(__xludf.DUMMYFUNCTION("""COMPUTED_VALUE"""),"เบญจมาศ")</f>
        <v>เบญจมาศ</v>
      </c>
      <c r="E642" s="10" t="str">
        <f ca="1">IFERROR(__xludf.DUMMYFUNCTION("""COMPUTED_VALUE"""),"096-9277973")</f>
        <v>096-9277973</v>
      </c>
      <c r="F642" s="10" t="str">
        <f ca="1">IFERROR(__xludf.DUMMYFUNCTION("""COMPUTED_VALUE"""),"31/17 ร้านตัดผมชายแซ็กบาร์เบอร์ ตรงข้ามคอนโดศุภาลัย")</f>
        <v>31/17 ร้านตัดผมชายแซ็กบาร์เบอร์ ตรงข้ามคอนโดศุภาลัย</v>
      </c>
      <c r="G642" s="10" t="str">
        <f ca="1">IFERROR(__xludf.DUMMYFUNCTION("""COMPUTED_VALUE"""),"นำจ่ายใหม่")</f>
        <v>นำจ่ายใหม่</v>
      </c>
      <c r="H642" s="10" t="str">
        <f ca="1">IFERROR(__xludf.DUMMYFUNCTION("""COMPUTED_VALUE"""),"-")</f>
        <v>-</v>
      </c>
      <c r="I642" s="10" t="str">
        <f ca="1">IFERROR(__xludf.DUMMYFUNCTION("""COMPUTED_VALUE"""),"-")</f>
        <v>-</v>
      </c>
      <c r="J642" s="10" t="str">
        <f ca="1">IFERROR(__xludf.DUMMYFUNCTION("""COMPUTED_VALUE"""),"DB1")</f>
        <v>DB1</v>
      </c>
      <c r="K642" s="10" t="str">
        <f ca="1">IFERROR(__xludf.DUMMYFUNCTION("""COMPUTED_VALUE"""),"zne10260evd1004")</f>
        <v>zne10260evd1004</v>
      </c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5.75" customHeight="1" x14ac:dyDescent="0.2">
      <c r="A643" s="9">
        <f ca="1">IFERROR(__xludf.DUMMYFUNCTION("""COMPUTED_VALUE"""),45314.475274074)</f>
        <v>45314.475274074</v>
      </c>
      <c r="B643" s="10" t="str">
        <f ca="1">IFERROR(__xludf.DUMMYFUNCTION("""COMPUTED_VALUE"""),"CEC")</f>
        <v>CEC</v>
      </c>
      <c r="C643" s="10" t="str">
        <f ca="1">IFERROR(__xludf.DUMMYFUNCTION("""COMPUTED_VALUE"""),"ed252868242th")</f>
        <v>ed252868242th</v>
      </c>
      <c r="D643" s="10" t="str">
        <f ca="1">IFERROR(__xludf.DUMMYFUNCTION("""COMPUTED_VALUE"""),"สุชาวดี")</f>
        <v>สุชาวดี</v>
      </c>
      <c r="E643" s="10" t="str">
        <f ca="1">IFERROR(__xludf.DUMMYFUNCTION("""COMPUTED_VALUE"""),"093-3242882")</f>
        <v>093-3242882</v>
      </c>
      <c r="F643" s="10" t="str">
        <f ca="1">IFERROR(__xludf.DUMMYFUNCTION("""COMPUTED_VALUE"""),"93/1236 คอนโดไอดิโอ สุขุมวิท93")</f>
        <v>93/1236 คอนโดไอดิโอ สุขุมวิท93</v>
      </c>
      <c r="G643" s="10" t="str">
        <f ca="1">IFERROR(__xludf.DUMMYFUNCTION("""COMPUTED_VALUE"""),"ตรวจสอบการนำจ่าย")</f>
        <v>ตรวจสอบการนำจ่าย</v>
      </c>
      <c r="H643" s="10" t="str">
        <f ca="1">IFERROR(__xludf.DUMMYFUNCTION("""COMPUTED_VALUE"""),"-")</f>
        <v>-</v>
      </c>
      <c r="I643" s="10" t="str">
        <f ca="1">IFERROR(__xludf.DUMMYFUNCTION("""COMPUTED_VALUE"""),"-")</f>
        <v>-</v>
      </c>
      <c r="J643" s="10" t="str">
        <f ca="1">IFERROR(__xludf.DUMMYFUNCTION("""COMPUTED_VALUE"""),"นำจ่ายรถยนต์")</f>
        <v>นำจ่ายรถยนต์</v>
      </c>
      <c r="K643" s="10" t="str">
        <f ca="1">IFERROR(__xludf.DUMMYFUNCTION("""COMPUTED_VALUE"""),"car10260evd5014")</f>
        <v>car10260evd5014</v>
      </c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5.75" customHeight="1" x14ac:dyDescent="0.2">
      <c r="A644" s="9">
        <f ca="1">IFERROR(__xludf.DUMMYFUNCTION("""COMPUTED_VALUE"""),45314.4770122222)</f>
        <v>45314.477012222203</v>
      </c>
      <c r="B644" s="10" t="str">
        <f ca="1">IFERROR(__xludf.DUMMYFUNCTION("""COMPUTED_VALUE"""),"CEC")</f>
        <v>CEC</v>
      </c>
      <c r="C644" s="10" t="str">
        <f ca="1">IFERROR(__xludf.DUMMYFUNCTION("""COMPUTED_VALUE"""),"ed208907732th")</f>
        <v>ed208907732th</v>
      </c>
      <c r="D644" s="10" t="str">
        <f ca="1">IFERROR(__xludf.DUMMYFUNCTION("""COMPUTED_VALUE"""),"วริสรา")</f>
        <v>วริสรา</v>
      </c>
      <c r="E644" s="10" t="str">
        <f ca="1">IFERROR(__xludf.DUMMYFUNCTION("""COMPUTED_VALUE"""),"088-1634525")</f>
        <v>088-1634525</v>
      </c>
      <c r="F644" s="10" t="str">
        <f ca="1">IFERROR(__xludf.DUMMYFUNCTION("""COMPUTED_VALUE"""),"207 สนง.จี โอ ดีส ซ.แสงอุทัย สุขุมวิท50")</f>
        <v>207 สนง.จี โอ ดีส ซ.แสงอุทัย สุขุมวิท50</v>
      </c>
      <c r="G644" s="10" t="str">
        <f ca="1">IFERROR(__xludf.DUMMYFUNCTION("""COMPUTED_VALUE"""),"ตรวจสอบการนำจ่าย")</f>
        <v>ตรวจสอบการนำจ่าย</v>
      </c>
      <c r="H644" s="10" t="str">
        <f ca="1">IFERROR(__xludf.DUMMYFUNCTION("""COMPUTED_VALUE"""),"-")</f>
        <v>-</v>
      </c>
      <c r="I644" s="10" t="str">
        <f ca="1">IFERROR(__xludf.DUMMYFUNCTION("""COMPUTED_VALUE"""),"-")</f>
        <v>-</v>
      </c>
      <c r="J644" s="10" t="str">
        <f ca="1">IFERROR(__xludf.DUMMYFUNCTION("""COMPUTED_VALUE"""),"DB4")</f>
        <v>DB4</v>
      </c>
      <c r="K644" s="10" t="str">
        <f ca="1">IFERROR(__xludf.DUMMYFUNCTION("""COMPUTED_VALUE"""),"ems10260evd4019")</f>
        <v>ems10260evd4019</v>
      </c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5.75" customHeight="1" x14ac:dyDescent="0.2">
      <c r="A645" s="9">
        <f ca="1">IFERROR(__xludf.DUMMYFUNCTION("""COMPUTED_VALUE"""),45314.5210233101)</f>
        <v>45314.521023310102</v>
      </c>
      <c r="B645" s="10" t="str">
        <f ca="1">IFERROR(__xludf.DUMMYFUNCTION("""COMPUTED_VALUE"""),"CEC")</f>
        <v>CEC</v>
      </c>
      <c r="C645" s="10" t="str">
        <f ca="1">IFERROR(__xludf.DUMMYFUNCTION("""COMPUTED_VALUE"""),"rl873988278th")</f>
        <v>rl873988278th</v>
      </c>
      <c r="D645" s="10" t="str">
        <f ca="1">IFERROR(__xludf.DUMMYFUNCTION("""COMPUTED_VALUE"""),"สรวิชญ์")</f>
        <v>สรวิชญ์</v>
      </c>
      <c r="E645" s="10" t="str">
        <f ca="1">IFERROR(__xludf.DUMMYFUNCTION("""COMPUTED_VALUE"""),"081-3565742")</f>
        <v>081-3565742</v>
      </c>
      <c r="F645" s="10" t="str">
        <f ca="1">IFERROR(__xludf.DUMMYFUNCTION("""COMPUTED_VALUE"""),"1 ซ.สุขุมวิท 62 แยก 19")</f>
        <v>1 ซ.สุขุมวิท 62 แยก 19</v>
      </c>
      <c r="G645" s="10" t="str">
        <f ca="1">IFERROR(__xludf.DUMMYFUNCTION("""COMPUTED_VALUE"""),"นำจ่ายใหม่")</f>
        <v>นำจ่ายใหม่</v>
      </c>
      <c r="H645" s="10" t="str">
        <f ca="1">IFERROR(__xludf.DUMMYFUNCTION("""COMPUTED_VALUE"""),"-")</f>
        <v>-</v>
      </c>
      <c r="I645" s="10" t="str">
        <f ca="1">IFERROR(__xludf.DUMMYFUNCTION("""COMPUTED_VALUE"""),"-")</f>
        <v>-</v>
      </c>
      <c r="J645" s="10" t="str">
        <f ca="1">IFERROR(__xludf.DUMMYFUNCTION("""COMPUTED_VALUE"""),"DB4")</f>
        <v>DB4</v>
      </c>
      <c r="K645" s="10" t="str">
        <f ca="1">IFERROR(__xludf.DUMMYFUNCTION("""COMPUTED_VALUE"""),"ems10260evd4012")</f>
        <v>ems10260evd4012</v>
      </c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5.75" customHeight="1" x14ac:dyDescent="0.2">
      <c r="A646" s="9">
        <f ca="1">IFERROR(__xludf.DUMMYFUNCTION("""COMPUTED_VALUE"""),45314.5221346759)</f>
        <v>45314.522134675899</v>
      </c>
      <c r="B646" s="10" t="str">
        <f ca="1">IFERROR(__xludf.DUMMYFUNCTION("""COMPUTED_VALUE"""),"CEC")</f>
        <v>CEC</v>
      </c>
      <c r="C646" s="10" t="str">
        <f ca="1">IFERROR(__xludf.DUMMYFUNCTION("""COMPUTED_VALUE"""),"en517834427th")</f>
        <v>en517834427th</v>
      </c>
      <c r="D646" s="10" t="str">
        <f ca="1">IFERROR(__xludf.DUMMYFUNCTION("""COMPUTED_VALUE"""),"อารีย์")</f>
        <v>อารีย์</v>
      </c>
      <c r="E646" s="10" t="str">
        <f ca="1">IFERROR(__xludf.DUMMYFUNCTION("""COMPUTED_VALUE"""),"083-6076199")</f>
        <v>083-6076199</v>
      </c>
      <c r="F646" s="10" t="str">
        <f ca="1">IFERROR(__xludf.DUMMYFUNCTION("""COMPUTED_VALUE"""),"98/224 บ้านรุ่งเรืองวิลล่า กุศลศิลป์")</f>
        <v>98/224 บ้านรุ่งเรืองวิลล่า กุศลศิลป์</v>
      </c>
      <c r="G646" s="10" t="str">
        <f ca="1">IFERROR(__xludf.DUMMYFUNCTION("""COMPUTED_VALUE"""),"นำจ่ายใหม่")</f>
        <v>นำจ่ายใหม่</v>
      </c>
      <c r="H646" s="10" t="str">
        <f ca="1">IFERROR(__xludf.DUMMYFUNCTION("""COMPUTED_VALUE"""),"COD.149 บาท)")</f>
        <v>COD.149 บาท)</v>
      </c>
      <c r="I646" s="10" t="str">
        <f ca="1">IFERROR(__xludf.DUMMYFUNCTION("""COMPUTED_VALUE"""),"-")</f>
        <v>-</v>
      </c>
      <c r="J646" s="10" t="str">
        <f ca="1">IFERROR(__xludf.DUMMYFUNCTION("""COMPUTED_VALUE"""),"DB2")</f>
        <v>DB2</v>
      </c>
      <c r="K646" s="10" t="str">
        <f ca="1">IFERROR(__xludf.DUMMYFUNCTION("""COMPUTED_VALUE"""),"ems10260evd2001")</f>
        <v>ems10260evd2001</v>
      </c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5.75" customHeight="1" x14ac:dyDescent="0.2">
      <c r="A647" s="9">
        <f ca="1">IFERROR(__xludf.DUMMYFUNCTION("""COMPUTED_VALUE"""),45314.5233332175)</f>
        <v>45314.523333217498</v>
      </c>
      <c r="B647" s="1" t="str">
        <f ca="1">IFERROR(__xludf.DUMMYFUNCTION("""COMPUTED_VALUE"""),"CEC")</f>
        <v>CEC</v>
      </c>
      <c r="C647" s="1" t="str">
        <f ca="1">IFERROR(__xludf.DUMMYFUNCTION("""COMPUTED_VALUE"""),"jf186111984th")</f>
        <v>jf186111984th</v>
      </c>
      <c r="D647" s="1" t="str">
        <f ca="1">IFERROR(__xludf.DUMMYFUNCTION("""COMPUTED_VALUE"""),"apuwan")</f>
        <v>apuwan</v>
      </c>
      <c r="E647" s="1" t="str">
        <f ca="1">IFERROR(__xludf.DUMMYFUNCTION("""COMPUTED_VALUE"""),"086-3489265")</f>
        <v>086-3489265</v>
      </c>
      <c r="F647" s="1" t="str">
        <f ca="1">IFERROR(__xludf.DUMMYFUNCTION("""COMPUTED_VALUE"""),"25/30 ซ.พึ่งมี 50 สุขุมวิท 93")</f>
        <v>25/30 ซ.พึ่งมี 50 สุขุมวิท 93</v>
      </c>
      <c r="G647" s="1" t="str">
        <f ca="1">IFERROR(__xludf.DUMMYFUNCTION("""COMPUTED_VALUE"""),"นำจ่ายใหม่")</f>
        <v>นำจ่ายใหม่</v>
      </c>
      <c r="H647" s="1" t="str">
        <f ca="1">IFERROR(__xludf.DUMMYFUNCTION("""COMPUTED_VALUE"""),"COD.190 บาท)")</f>
        <v>COD.190 บาท)</v>
      </c>
      <c r="I647" s="1" t="str">
        <f ca="1">IFERROR(__xludf.DUMMYFUNCTION("""COMPUTED_VALUE"""),"-")</f>
        <v>-</v>
      </c>
      <c r="J647" s="1" t="str">
        <f ca="1">IFERROR(__xludf.DUMMYFUNCTION("""COMPUTED_VALUE"""),"DB3")</f>
        <v>DB3</v>
      </c>
      <c r="K647" s="1" t="str">
        <f ca="1">IFERROR(__xludf.DUMMYFUNCTION("""COMPUTED_VALUE"""),"ems10260evd3008")</f>
        <v>ems10260evd3008</v>
      </c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6" ht="15.75" customHeight="1" x14ac:dyDescent="0.2">
      <c r="A648" s="7">
        <f ca="1">IFERROR(__xludf.DUMMYFUNCTION("""COMPUTED_VALUE"""),243569.55505787)</f>
        <v>243569.55505786999</v>
      </c>
      <c r="B648" s="1" t="str">
        <f ca="1">IFERROR(__xludf.DUMMYFUNCTION("""COMPUTED_VALUE"""),"CEC")</f>
        <v>CEC</v>
      </c>
      <c r="C648" s="1" t="str">
        <f ca="1">IFERROR(__xludf.DUMMYFUNCTION("""COMPUTED_VALUE"""),"EM448795204TH")</f>
        <v>EM448795204TH</v>
      </c>
      <c r="D648" s="1" t="str">
        <f ca="1">IFERROR(__xludf.DUMMYFUNCTION("""COMPUTED_VALUE"""),"นันทิกา")</f>
        <v>นันทิกา</v>
      </c>
      <c r="E648" s="1" t="str">
        <f ca="1">IFERROR(__xludf.DUMMYFUNCTION("""COMPUTED_VALUE"""),"064-9598850")</f>
        <v>064-9598850</v>
      </c>
      <c r="F648" s="1" t="str">
        <f ca="1">IFERROR(__xludf.DUMMYFUNCTION("""COMPUTED_VALUE"""),"543/108 ลุมพินีวิลล์ลาซาล")</f>
        <v>543/108 ลุมพินีวิลล์ลาซาล</v>
      </c>
      <c r="G648" s="1" t="str">
        <f ca="1">IFERROR(__xludf.DUMMYFUNCTION("""COMPUTED_VALUE"""),"ตรวจสอบการนำจ่าย")</f>
        <v>ตรวจสอบการนำจ่าย</v>
      </c>
      <c r="H648" s="1" t="str">
        <f ca="1">IFERROR(__xludf.DUMMYFUNCTION("""COMPUTED_VALUE"""),"ยังไม่มีการเตรียมการนำจ่าย")</f>
        <v>ยังไม่มีการเตรียมการนำจ่าย</v>
      </c>
      <c r="I648" s="1"/>
      <c r="J648" s="1" t="str">
        <f ca="1">IFERROR(__xludf.DUMMYFUNCTION("""COMPUTED_VALUE"""),"นำจ่ายรถยนต์")</f>
        <v>นำจ่ายรถยนต์</v>
      </c>
      <c r="K648" s="1" t="str">
        <f ca="1">IFERROR(__xludf.DUMMYFUNCTION("""COMPUTED_VALUE"""),"CAR10260EVD5006")</f>
        <v>CAR10260EVD5006</v>
      </c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6" ht="15.75" customHeight="1" x14ac:dyDescent="0.2">
      <c r="A649" s="7">
        <f ca="1">IFERROR(__xludf.DUMMYFUNCTION("""COMPUTED_VALUE"""),243569.598819444)</f>
        <v>243569.59881944401</v>
      </c>
      <c r="B649" s="1" t="str">
        <f ca="1">IFERROR(__xludf.DUMMYFUNCTION("""COMPUTED_VALUE"""),"CEC")</f>
        <v>CEC</v>
      </c>
      <c r="C649" s="1" t="str">
        <f ca="1">IFERROR(__xludf.DUMMYFUNCTION("""COMPUTED_VALUE"""),"EF150878213TH")</f>
        <v>EF150878213TH</v>
      </c>
      <c r="D649" s="1" t="str">
        <f ca="1">IFERROR(__xludf.DUMMYFUNCTION("""COMPUTED_VALUE"""),"กัญวรินทร์")</f>
        <v>กัญวรินทร์</v>
      </c>
      <c r="E649" s="1" t="str">
        <f ca="1">IFERROR(__xludf.DUMMYFUNCTION("""COMPUTED_VALUE"""),"063-9501954")</f>
        <v>063-9501954</v>
      </c>
      <c r="F649" s="1" t="str">
        <f ca="1">IFERROR(__xludf.DUMMYFUNCTION("""COMPUTED_VALUE"""),"354/105 รีเจ้นท์โฮม 97/1")</f>
        <v>354/105 รีเจ้นท์โฮม 97/1</v>
      </c>
      <c r="G649" s="1" t="str">
        <f ca="1">IFERROR(__xludf.DUMMYFUNCTION("""COMPUTED_VALUE"""),"ตรวจสอบการนำจ่าย")</f>
        <v>ตรวจสอบการนำจ่าย</v>
      </c>
      <c r="H649" s="1" t="str">
        <f ca="1">IFERROR(__xludf.DUMMYFUNCTION("""COMPUTED_VALUE"""),"นำจ่าย 9/11/66")</f>
        <v>นำจ่าย 9/11/66</v>
      </c>
      <c r="I649" s="1" t="str">
        <f ca="1">IFERROR(__xludf.DUMMYFUNCTION("""COMPUTED_VALUE"""),"ตรวจสอบแล้วนำจ่ายถูกต้อง")</f>
        <v>ตรวจสอบแล้วนำจ่ายถูกต้อง</v>
      </c>
      <c r="J649" s="1" t="str">
        <f ca="1">IFERROR(__xludf.DUMMYFUNCTION("""COMPUTED_VALUE"""),"นำจ่ายรถยนต์")</f>
        <v>นำจ่ายรถยนต์</v>
      </c>
      <c r="K649" s="1" t="str">
        <f ca="1">IFERROR(__xludf.DUMMYFUNCTION("""COMPUTED_VALUE"""),"CAR10260EVD5013")</f>
        <v>CAR10260EVD5013</v>
      </c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6" ht="15.75" customHeight="1" x14ac:dyDescent="0.2">
      <c r="A650" s="7">
        <f ca="1">IFERROR(__xludf.DUMMYFUNCTION("""COMPUTED_VALUE"""),243569.617384259)</f>
        <v>243569.61738425901</v>
      </c>
      <c r="B650" s="1" t="str">
        <f ca="1">IFERROR(__xludf.DUMMYFUNCTION("""COMPUTED_VALUE"""),"CEC")</f>
        <v>CEC</v>
      </c>
      <c r="C650" s="1" t="str">
        <f ca="1">IFERROR(__xludf.DUMMYFUNCTION("""COMPUTED_VALUE"""),"RE595427740TH")</f>
        <v>RE595427740TH</v>
      </c>
      <c r="D650" s="1" t="str">
        <f ca="1">IFERROR(__xludf.DUMMYFUNCTION("""COMPUTED_VALUE"""),"ศวิมล")</f>
        <v>ศวิมล</v>
      </c>
      <c r="E650" s="1" t="str">
        <f ca="1">IFERROR(__xludf.DUMMYFUNCTION("""COMPUTED_VALUE"""),"096-8053136")</f>
        <v>096-8053136</v>
      </c>
      <c r="F650" s="1" t="str">
        <f ca="1">IFERROR(__xludf.DUMMYFUNCTION("""COMPUTED_VALUE"""),"69 พึ่งมี 26")</f>
        <v>69 พึ่งมี 26</v>
      </c>
      <c r="G650" s="1" t="str">
        <f ca="1">IFERROR(__xludf.DUMMYFUNCTION("""COMPUTED_VALUE"""),"ตรวจสอบการนำจ่าย")</f>
        <v>ตรวจสอบการนำจ่าย</v>
      </c>
      <c r="H650" s="1" t="str">
        <f ca="1">IFERROR(__xludf.DUMMYFUNCTION("""COMPUTED_VALUE"""),"กำชับนำจ่ายวันนี้")</f>
        <v>กำชับนำจ่ายวันนี้</v>
      </c>
      <c r="I650" s="1" t="str">
        <f ca="1">IFERROR(__xludf.DUMMYFUNCTION("""COMPUTED_VALUE"""),"เจ้าหน้าที่อยู่ในเส้นทางนำจ่าย")</f>
        <v>เจ้าหน้าที่อยู่ในเส้นทางนำจ่าย</v>
      </c>
      <c r="J650" s="1" t="str">
        <f ca="1">IFERROR(__xludf.DUMMYFUNCTION("""COMPUTED_VALUE"""),"DB3")</f>
        <v>DB3</v>
      </c>
      <c r="K650" s="1" t="str">
        <f ca="1">IFERROR(__xludf.DUMMYFUNCTION("""COMPUTED_VALUE"""),"EMS10260EVD3014")</f>
        <v>EMS10260EVD3014</v>
      </c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6" ht="15.75" customHeight="1" x14ac:dyDescent="0.2">
      <c r="A651" s="7">
        <f ca="1">IFERROR(__xludf.DUMMYFUNCTION("""COMPUTED_VALUE"""),243569.651238425)</f>
        <v>243569.65123842499</v>
      </c>
      <c r="B651" s="1" t="str">
        <f ca="1">IFERROR(__xludf.DUMMYFUNCTION("""COMPUTED_VALUE"""),"CEC")</f>
        <v>CEC</v>
      </c>
      <c r="C651" s="1" t="str">
        <f ca="1">IFERROR(__xludf.DUMMYFUNCTION("""COMPUTED_VALUE"""),"ED777980643TH")</f>
        <v>ED777980643TH</v>
      </c>
      <c r="D651" s="1" t="str">
        <f ca="1">IFERROR(__xludf.DUMMYFUNCTION("""COMPUTED_VALUE"""),"วรรธนะ")</f>
        <v>วรรธนะ</v>
      </c>
      <c r="E651" s="1" t="str">
        <f ca="1">IFERROR(__xludf.DUMMYFUNCTION("""COMPUTED_VALUE"""),"085-5505656")</f>
        <v>085-5505656</v>
      </c>
      <c r="F651" s="1" t="str">
        <f ca="1">IFERROR(__xludf.DUMMYFUNCTION("""COMPUTED_VALUE"""),"25/369 มีสไตส์คอนโด บางนาตราด 23")</f>
        <v>25/369 มีสไตส์คอนโด บางนาตราด 23</v>
      </c>
      <c r="G651" s="1" t="str">
        <f ca="1">IFERROR(__xludf.DUMMYFUNCTION("""COMPUTED_VALUE"""),"ตรวจสอบการนำจ่าย")</f>
        <v>ตรวจสอบการนำจ่าย</v>
      </c>
      <c r="H651" s="1"/>
      <c r="I651" s="1"/>
      <c r="J651" s="1" t="str">
        <f ca="1">IFERROR(__xludf.DUMMYFUNCTION("""COMPUTED_VALUE"""),"นำจ่ายรถยนต์")</f>
        <v>นำจ่ายรถยนต์</v>
      </c>
      <c r="K651" s="1" t="str">
        <f ca="1">IFERROR(__xludf.DUMMYFUNCTION("""COMPUTED_VALUE"""),"CAR10260EVD5008")</f>
        <v>CAR10260EVD5008</v>
      </c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6" ht="15.75" customHeight="1" x14ac:dyDescent="0.2">
      <c r="A652" s="7">
        <f ca="1">IFERROR(__xludf.DUMMYFUNCTION("""COMPUTED_VALUE"""),243570.441539351)</f>
        <v>243570.44153935101</v>
      </c>
      <c r="B652" s="1" t="str">
        <f ca="1">IFERROR(__xludf.DUMMYFUNCTION("""COMPUTED_VALUE"""),"CEC")</f>
        <v>CEC</v>
      </c>
      <c r="C652" s="1" t="str">
        <f ca="1">IFERROR(__xludf.DUMMYFUNCTION("""COMPUTED_VALUE"""),"EB996657056TH")</f>
        <v>EB996657056TH</v>
      </c>
      <c r="D652" s="1" t="str">
        <f ca="1">IFERROR(__xludf.DUMMYFUNCTION("""COMPUTED_VALUE"""),"ไอซ์")</f>
        <v>ไอซ์</v>
      </c>
      <c r="E652" s="1" t="str">
        <f ca="1">IFERROR(__xludf.DUMMYFUNCTION("""COMPUTED_VALUE"""),"085-2449165")</f>
        <v>085-2449165</v>
      </c>
      <c r="F652" s="1" t="str">
        <f ca="1">IFERROR(__xludf.DUMMYFUNCTION("""COMPUTED_VALUE"""),"1818/19 เดอะเกร็นทรี สุขุมวิท 101")</f>
        <v>1818/19 เดอะเกร็นทรี สุขุมวิท 101</v>
      </c>
      <c r="G652" s="1" t="str">
        <f ca="1">IFERROR(__xludf.DUMMYFUNCTION("""COMPUTED_VALUE"""),"ตรวจสอบการนำจ่าย")</f>
        <v>ตรวจสอบการนำจ่าย</v>
      </c>
      <c r="H652" s="1" t="str">
        <f ca="1">IFERROR(__xludf.DUMMYFUNCTION("""COMPUTED_VALUE"""),"ยังไม่มีสถานะเตรียมการ ตั้งแต่วันที่ 10/11/66")</f>
        <v>ยังไม่มีสถานะเตรียมการ ตั้งแต่วันที่ 10/11/66</v>
      </c>
      <c r="I652" s="1" t="str">
        <f ca="1">IFERROR(__xludf.DUMMYFUNCTION("""COMPUTED_VALUE"""),"แจ้งเจ้าหน้าที่ตรวจสอบแล้ว")</f>
        <v>แจ้งเจ้าหน้าที่ตรวจสอบแล้ว</v>
      </c>
      <c r="J652" s="1" t="str">
        <f ca="1">IFERROR(__xludf.DUMMYFUNCTION("""COMPUTED_VALUE"""),"DB3")</f>
        <v>DB3</v>
      </c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6" ht="15.75" customHeight="1" x14ac:dyDescent="0.2">
      <c r="A653" s="7">
        <f ca="1">IFERROR(__xludf.DUMMYFUNCTION("""COMPUTED_VALUE"""),243570.44855324)</f>
        <v>243570.44855324001</v>
      </c>
      <c r="B653" s="1" t="str">
        <f ca="1">IFERROR(__xludf.DUMMYFUNCTION("""COMPUTED_VALUE"""),"CEC")</f>
        <v>CEC</v>
      </c>
      <c r="C653" s="1" t="str">
        <f ca="1">IFERROR(__xludf.DUMMYFUNCTION("""COMPUTED_VALUE"""),"RY905927167TH")</f>
        <v>RY905927167TH</v>
      </c>
      <c r="D653" s="1" t="str">
        <f ca="1">IFERROR(__xludf.DUMMYFUNCTION("""COMPUTED_VALUE"""),"ธัญลักษ์")</f>
        <v>ธัญลักษ์</v>
      </c>
      <c r="E653" s="1" t="str">
        <f ca="1">IFERROR(__xludf.DUMMYFUNCTION("""COMPUTED_VALUE"""),"063-3892464")</f>
        <v>063-3892464</v>
      </c>
      <c r="F653" s="1" t="str">
        <f ca="1">IFERROR(__xludf.DUMMYFUNCTION("""COMPUTED_VALUE"""),"28 ถ.เกรณาวัฒนา ต.บางปรอก อ.เมือง จ.ปทุมธานี")</f>
        <v>28 ถ.เกรณาวัฒนา ต.บางปรอก อ.เมือง จ.ปทุมธานี</v>
      </c>
      <c r="G653" s="1" t="str">
        <f ca="1">IFERROR(__xludf.DUMMYFUNCTION("""COMPUTED_VALUE"""),"ตรวจสอบการนำจ่าย")</f>
        <v>ตรวจสอบการนำจ่าย</v>
      </c>
      <c r="H653" s="1"/>
      <c r="I653" s="1"/>
      <c r="J653" s="1" t="str">
        <f ca="1">IFERROR(__xludf.DUMMYFUNCTION("""COMPUTED_VALUE"""),"บป")</f>
        <v>บป</v>
      </c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6" ht="15.75" customHeight="1" x14ac:dyDescent="0.2">
      <c r="A654" s="7">
        <f ca="1">IFERROR(__xludf.DUMMYFUNCTION("""COMPUTED_VALUE"""),243570.607696759)</f>
        <v>243570.60769675899</v>
      </c>
      <c r="B654" s="1" t="str">
        <f ca="1">IFERROR(__xludf.DUMMYFUNCTION("""COMPUTED_VALUE"""),"CEC")</f>
        <v>CEC</v>
      </c>
      <c r="C654" s="1" t="str">
        <f ca="1">IFERROR(__xludf.DUMMYFUNCTION("""COMPUTED_VALUE"""),"EM385816149TH")</f>
        <v>EM385816149TH</v>
      </c>
      <c r="D654" s="1" t="str">
        <f ca="1">IFERROR(__xludf.DUMMYFUNCTION("""COMPUTED_VALUE"""),"Yuichi")</f>
        <v>Yuichi</v>
      </c>
      <c r="E654" s="1" t="str">
        <f ca="1">IFERROR(__xludf.DUMMYFUNCTION("""COMPUTED_VALUE"""),"086-7129776")</f>
        <v>086-7129776</v>
      </c>
      <c r="F654" s="1" t="str">
        <f ca="1">IFERROR(__xludf.DUMMYFUNCTION("""COMPUTED_VALUE"""),"27/1 ปุณณวิถี 30")</f>
        <v>27/1 ปุณณวิถี 30</v>
      </c>
      <c r="G654" s="1" t="str">
        <f ca="1">IFERROR(__xludf.DUMMYFUNCTION("""COMPUTED_VALUE"""),"นำจ่ายใหม่")</f>
        <v>นำจ่ายใหม่</v>
      </c>
      <c r="H654" s="1" t="str">
        <f ca="1">IFERROR(__xludf.DUMMYFUNCTION("""COMPUTED_VALUE"""),"ออกใบแจ้ง 10/11/66")</f>
        <v>ออกใบแจ้ง 10/11/66</v>
      </c>
      <c r="I654" s="1"/>
      <c r="J654" s="1" t="str">
        <f ca="1">IFERROR(__xludf.DUMMYFUNCTION("""COMPUTED_VALUE"""),"DB3")</f>
        <v>DB3</v>
      </c>
      <c r="K654" s="1" t="str">
        <f ca="1">IFERROR(__xludf.DUMMYFUNCTION("""COMPUTED_VALUE"""),"EMS10260EVD3020")</f>
        <v>EMS10260EVD3020</v>
      </c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6" ht="15.75" customHeight="1" x14ac:dyDescent="0.2">
      <c r="A655" s="7">
        <f ca="1">IFERROR(__xludf.DUMMYFUNCTION("""COMPUTED_VALUE"""),243570.609606481)</f>
        <v>243570.60960648101</v>
      </c>
      <c r="B655" s="1" t="str">
        <f ca="1">IFERROR(__xludf.DUMMYFUNCTION("""COMPUTED_VALUE"""),"CEC")</f>
        <v>CEC</v>
      </c>
      <c r="C655" s="1" t="str">
        <f ca="1">IFERROR(__xludf.DUMMYFUNCTION("""COMPUTED_VALUE"""),"EY934017804TH")</f>
        <v>EY934017804TH</v>
      </c>
      <c r="D655" s="1" t="str">
        <f ca="1">IFERROR(__xludf.DUMMYFUNCTION("""COMPUTED_VALUE"""),"ผู้ส่ง")</f>
        <v>ผู้ส่ง</v>
      </c>
      <c r="E655" s="1" t="str">
        <f ca="1">IFERROR(__xludf.DUMMYFUNCTION("""COMPUTED_VALUE"""),"082-4669564")</f>
        <v>082-4669564</v>
      </c>
      <c r="F655" s="1" t="str">
        <f ca="1">IFERROR(__xludf.DUMMYFUNCTION("""COMPUTED_VALUE"""),"3009/519 คอนโด เดอะไลน์")</f>
        <v>3009/519 คอนโด เดอะไลน์</v>
      </c>
      <c r="G655" s="1" t="str">
        <f ca="1">IFERROR(__xludf.DUMMYFUNCTION("""COMPUTED_VALUE"""),"นำจ่ายใหม่")</f>
        <v>นำจ่ายใหม่</v>
      </c>
      <c r="H655" s="1" t="str">
        <f ca="1">IFERROR(__xludf.DUMMYFUNCTION("""COMPUTED_VALUE"""),"ผู้รับสะดวกรับสายช่วงบ่าย COD 1650 บ")</f>
        <v>ผู้รับสะดวกรับสายช่วงบ่าย COD 1650 บ</v>
      </c>
      <c r="I655" s="1"/>
      <c r="J655" s="1" t="str">
        <f ca="1">IFERROR(__xludf.DUMMYFUNCTION("""COMPUTED_VALUE"""),"DB3")</f>
        <v>DB3</v>
      </c>
      <c r="K655" s="1" t="str">
        <f ca="1">IFERROR(__xludf.DUMMYFUNCTION("""COMPUTED_VALUE"""),"EMS10260EVD3011")</f>
        <v>EMS10260EVD3011</v>
      </c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6" ht="15.75" customHeight="1" x14ac:dyDescent="0.2">
      <c r="A656" s="7">
        <f ca="1">IFERROR(__xludf.DUMMYFUNCTION("""COMPUTED_VALUE"""),243570.611597222)</f>
        <v>243570.61159722201</v>
      </c>
      <c r="B656" s="1" t="str">
        <f ca="1">IFERROR(__xludf.DUMMYFUNCTION("""COMPUTED_VALUE"""),"CEC")</f>
        <v>CEC</v>
      </c>
      <c r="C656" s="1" t="str">
        <f ca="1">IFERROR(__xludf.DUMMYFUNCTION("""COMPUTED_VALUE"""),"RE784896844TH")</f>
        <v>RE784896844TH</v>
      </c>
      <c r="D656" s="1" t="str">
        <f ca="1">IFERROR(__xludf.DUMMYFUNCTION("""COMPUTED_VALUE"""),"วรัญญา")</f>
        <v>วรัญญา</v>
      </c>
      <c r="E656" s="1" t="str">
        <f ca="1">IFERROR(__xludf.DUMMYFUNCTION("""COMPUTED_VALUE"""),"095-7866545")</f>
        <v>095-7866545</v>
      </c>
      <c r="F656" s="1" t="str">
        <f ca="1">IFERROR(__xludf.DUMMYFUNCTION("""COMPUTED_VALUE"""),"135 วชิรธรรมสาธิต 5")</f>
        <v>135 วชิรธรรมสาธิต 5</v>
      </c>
      <c r="G656" s="1" t="str">
        <f ca="1">IFERROR(__xludf.DUMMYFUNCTION("""COMPUTED_VALUE"""),"นำจ่ายใหม่")</f>
        <v>นำจ่ายใหม่</v>
      </c>
      <c r="H656" s="1" t="str">
        <f ca="1">IFERROR(__xludf.DUMMYFUNCTION("""COMPUTED_VALUE"""),"ออกใบแจ้ง 12/11/66")</f>
        <v>ออกใบแจ้ง 12/11/66</v>
      </c>
      <c r="I656" s="1"/>
      <c r="J656" s="1" t="str">
        <f ca="1">IFERROR(__xludf.DUMMYFUNCTION("""COMPUTED_VALUE"""),"DB3")</f>
        <v>DB3</v>
      </c>
      <c r="K656" s="1" t="str">
        <f ca="1">IFERROR(__xludf.DUMMYFUNCTION("""COMPUTED_VALUE"""),"EMS10260EVD3022")</f>
        <v>EMS10260EVD3022</v>
      </c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 ht="15.75" customHeight="1" x14ac:dyDescent="0.2">
      <c r="A657" s="7">
        <f ca="1">IFERROR(__xludf.DUMMYFUNCTION("""COMPUTED_VALUE"""),243570.632453703)</f>
        <v>243570.632453703</v>
      </c>
      <c r="B657" s="1" t="str">
        <f ca="1">IFERROR(__xludf.DUMMYFUNCTION("""COMPUTED_VALUE"""),"On Queue")</f>
        <v>On Queue</v>
      </c>
      <c r="C657" s="1" t="str">
        <f ca="1">IFERROR(__xludf.DUMMYFUNCTION("""COMPUTED_VALUE"""),"EA864743847TH")</f>
        <v>EA864743847TH</v>
      </c>
      <c r="D657" s="1" t="str">
        <f ca="1">IFERROR(__xludf.DUMMYFUNCTION("""COMPUTED_VALUE"""),"ยุพิน")</f>
        <v>ยุพิน</v>
      </c>
      <c r="E657" s="1" t="str">
        <f ca="1">IFERROR(__xludf.DUMMYFUNCTION("""COMPUTED_VALUE"""),"081-5598741")</f>
        <v>081-5598741</v>
      </c>
      <c r="F657" s="1" t="str">
        <f ca="1">IFERROR(__xludf.DUMMYFUNCTION("""COMPUTED_VALUE"""),"280 รร.อรรถวิทย์")</f>
        <v>280 รร.อรรถวิทย์</v>
      </c>
      <c r="G657" s="1" t="str">
        <f ca="1">IFERROR(__xludf.DUMMYFUNCTION("""COMPUTED_VALUE"""),"นำจ่ายใหม่")</f>
        <v>นำจ่ายใหม่</v>
      </c>
      <c r="H657" s="1" t="str">
        <f ca="1">IFERROR(__xludf.DUMMYFUNCTION("""COMPUTED_VALUE"""),"ผู้รับสะดวกรับของ 17/11/2566 COD 1960 บ")</f>
        <v>ผู้รับสะดวกรับของ 17/11/2566 COD 1960 บ</v>
      </c>
      <c r="I657" s="1"/>
      <c r="J657" s="1" t="str">
        <f ca="1">IFERROR(__xludf.DUMMYFUNCTION("""COMPUTED_VALUE"""),"DB2")</f>
        <v>DB2</v>
      </c>
      <c r="K657" s="1" t="str">
        <f ca="1">IFERROR(__xludf.DUMMYFUNCTION("""COMPUTED_VALUE"""),"EMS10260EVD2001")</f>
        <v>EMS10260EVD2001</v>
      </c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 ht="15.75" customHeight="1" x14ac:dyDescent="0.2">
      <c r="A658" s="7">
        <f ca="1">IFERROR(__xludf.DUMMYFUNCTION("""COMPUTED_VALUE"""),243570.659039351)</f>
        <v>243570.65903935101</v>
      </c>
      <c r="B658" s="1" t="str">
        <f ca="1">IFERROR(__xludf.DUMMYFUNCTION("""COMPUTED_VALUE"""),"CEC")</f>
        <v>CEC</v>
      </c>
      <c r="C658" s="1" t="str">
        <f ca="1">IFERROR(__xludf.DUMMYFUNCTION("""COMPUTED_VALUE"""),"ED943227205TH")</f>
        <v>ED943227205TH</v>
      </c>
      <c r="D658" s="1" t="str">
        <f ca="1">IFERROR(__xludf.DUMMYFUNCTION("""COMPUTED_VALUE"""),"ผู้ส่ง")</f>
        <v>ผู้ส่ง</v>
      </c>
      <c r="E658" s="1" t="str">
        <f ca="1">IFERROR(__xludf.DUMMYFUNCTION("""COMPUTED_VALUE"""),"092-9040169")</f>
        <v>092-9040169</v>
      </c>
      <c r="F658" s="1" t="str">
        <f ca="1">IFERROR(__xludf.DUMMYFUNCTION("""COMPUTED_VALUE"""),"900/119 ม.แสนสุข อุดมสุข 26")</f>
        <v>900/119 ม.แสนสุข อุดมสุข 26</v>
      </c>
      <c r="G658" s="1" t="str">
        <f ca="1">IFERROR(__xludf.DUMMYFUNCTION("""COMPUTED_VALUE"""),"ตรวจสอบการนำจ่าย")</f>
        <v>ตรวจสอบการนำจ่าย</v>
      </c>
      <c r="H658" s="1" t="str">
        <f ca="1">IFERROR(__xludf.DUMMYFUNCTION("""COMPUTED_VALUE"""),"ขอให้ส่งคืน")</f>
        <v>ขอให้ส่งคืน</v>
      </c>
      <c r="I658" s="1"/>
      <c r="J658" s="1" t="str">
        <f ca="1">IFERROR(__xludf.DUMMYFUNCTION("""COMPUTED_VALUE"""),"DB2")</f>
        <v>DB2</v>
      </c>
      <c r="K658" s="1" t="str">
        <f ca="1">IFERROR(__xludf.DUMMYFUNCTION("""COMPUTED_VALUE"""),"EMS10260EVD2017")</f>
        <v>EMS10260EVD2017</v>
      </c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 ht="15.75" customHeight="1" x14ac:dyDescent="0.2">
      <c r="A659" s="7">
        <f ca="1">IFERROR(__xludf.DUMMYFUNCTION("""COMPUTED_VALUE"""),243570.674872685)</f>
        <v>243570.67487268499</v>
      </c>
      <c r="B659" s="1" t="str">
        <f ca="1">IFERROR(__xludf.DUMMYFUNCTION("""COMPUTED_VALUE"""),"CEC")</f>
        <v>CEC</v>
      </c>
      <c r="C659" s="1" t="str">
        <f ca="1">IFERROR(__xludf.DUMMYFUNCTION("""COMPUTED_VALUE"""),"EB506203835TH")</f>
        <v>EB506203835TH</v>
      </c>
      <c r="D659" s="1" t="str">
        <f ca="1">IFERROR(__xludf.DUMMYFUNCTION("""COMPUTED_VALUE"""),"สิริวิมล")</f>
        <v>สิริวิมล</v>
      </c>
      <c r="E659" s="1" t="str">
        <f ca="1">IFERROR(__xludf.DUMMYFUNCTION("""COMPUTED_VALUE"""),"099-3512532")</f>
        <v>099-3512532</v>
      </c>
      <c r="F659" s="1" t="str">
        <f ca="1">IFERROR(__xludf.DUMMYFUNCTION("""COMPUTED_VALUE"""),"18 บางนาอพาร์ทเม้นท์ บางนาตราด 7")</f>
        <v>18 บางนาอพาร์ทเม้นท์ บางนาตราด 7</v>
      </c>
      <c r="G659" s="1" t="str">
        <f ca="1">IFERROR(__xludf.DUMMYFUNCTION("""COMPUTED_VALUE"""),"ตรวจสอบการนำจ่าย")</f>
        <v>ตรวจสอบการนำจ่าย</v>
      </c>
      <c r="H659" s="1" t="str">
        <f ca="1">IFERROR(__xludf.DUMMYFUNCTION("""COMPUTED_VALUE"""),"นำจ่าย 17/10/66")</f>
        <v>นำจ่าย 17/10/66</v>
      </c>
      <c r="I659" s="1"/>
      <c r="J659" s="1" t="str">
        <f ca="1">IFERROR(__xludf.DUMMYFUNCTION("""COMPUTED_VALUE"""),"DB2")</f>
        <v>DB2</v>
      </c>
      <c r="K659" s="1" t="str">
        <f ca="1">IFERROR(__xludf.DUMMYFUNCTION("""COMPUTED_VALUE"""),"GEN07262EVD0216")</f>
        <v>GEN07262EVD0216</v>
      </c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 ht="15.75" customHeight="1" x14ac:dyDescent="0.2">
      <c r="A660" s="7">
        <f ca="1">IFERROR(__xludf.DUMMYFUNCTION("""COMPUTED_VALUE"""),243571.508587962)</f>
        <v>243571.50858796199</v>
      </c>
      <c r="B660" s="1" t="str">
        <f ca="1">IFERROR(__xludf.DUMMYFUNCTION("""COMPUTED_VALUE"""),"CEC")</f>
        <v>CEC</v>
      </c>
      <c r="C660" s="1" t="str">
        <f ca="1">IFERROR(__xludf.DUMMYFUNCTION("""COMPUTED_VALUE"""),"EM448795204TH")</f>
        <v>EM448795204TH</v>
      </c>
      <c r="D660" s="1" t="str">
        <f ca="1">IFERROR(__xludf.DUMMYFUNCTION("""COMPUTED_VALUE"""),"ปณ.บางกอกน้อย 0917722605")</f>
        <v>ปณ.บางกอกน้อย 0917722605</v>
      </c>
      <c r="E660" s="1" t="str">
        <f ca="1">IFERROR(__xludf.DUMMYFUNCTION("""COMPUTED_VALUE"""),"0649598850")</f>
        <v>0649598850</v>
      </c>
      <c r="F660" s="1" t="str">
        <f ca="1">IFERROR(__xludf.DUMMYFUNCTION("""COMPUTED_VALUE"""),"ถนน แบริ่ง - ลาซาล, Khwaeng Bang Na, Khet Bang Na, Krung Thep Maha Nakhon, Thailand")</f>
        <v>ถนน แบริ่ง - ลาซาล, Khwaeng Bang Na, Khet Bang Na, Krung Thep Maha Nakhon, Thailand</v>
      </c>
      <c r="G660" s="1" t="str">
        <f ca="1">IFERROR(__xludf.DUMMYFUNCTION("""COMPUTED_VALUE"""),"ตรวจสอบการนำจ่าย")</f>
        <v>ตรวจสอบการนำจ่าย</v>
      </c>
      <c r="H660" s="1" t="str">
        <f ca="1">IFERROR(__xludf.DUMMYFUNCTION("""COMPUTED_VALUE"""),"ไม่มีผลการนำจ่าย")</f>
        <v>ไม่มีผลการนำจ่าย</v>
      </c>
      <c r="I660" s="1"/>
      <c r="J660" s="1" t="str">
        <f ca="1">IFERROR(__xludf.DUMMYFUNCTION("""COMPUTED_VALUE"""),"นำจ่ายรถยนต์")</f>
        <v>นำจ่ายรถยนต์</v>
      </c>
      <c r="K660" s="1" t="str">
        <f ca="1">IFERROR(__xludf.DUMMYFUNCTION("""COMPUTED_VALUE"""),"CAR10260EVD5006")</f>
        <v>CAR10260EVD5006</v>
      </c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 ht="15.75" customHeight="1" x14ac:dyDescent="0.2">
      <c r="A661" s="7">
        <f ca="1">IFERROR(__xludf.DUMMYFUNCTION("""COMPUTED_VALUE"""),243571.538738425)</f>
        <v>243571.53873842501</v>
      </c>
      <c r="B661" s="1" t="str">
        <f ca="1">IFERROR(__xludf.DUMMYFUNCTION("""COMPUTED_VALUE"""),"CEC")</f>
        <v>CEC</v>
      </c>
      <c r="C661" s="1" t="str">
        <f ca="1">IFERROR(__xludf.DUMMYFUNCTION("""COMPUTED_VALUE"""),"EB510742726TH")</f>
        <v>EB510742726TH</v>
      </c>
      <c r="D661" s="1" t="str">
        <f ca="1">IFERROR(__xludf.DUMMYFUNCTION("""COMPUTED_VALUE"""),"ชรินทร")</f>
        <v>ชรินทร</v>
      </c>
      <c r="E661" s="1" t="str">
        <f ca="1">IFERROR(__xludf.DUMMYFUNCTION("""COMPUTED_VALUE"""),"090-9909218")</f>
        <v>090-9909218</v>
      </c>
      <c r="F661" s="1" t="str">
        <f ca="1">IFERROR(__xludf.DUMMYFUNCTION("""COMPUTED_VALUE"""),"3645 ตลาดคุณยิ้ม BTS อุดมสุข")</f>
        <v>3645 ตลาดคุณยิ้ม BTS อุดมสุข</v>
      </c>
      <c r="G661" s="1" t="str">
        <f ca="1">IFERROR(__xludf.DUMMYFUNCTION("""COMPUTED_VALUE"""),"นำจ่ายใหม่")</f>
        <v>นำจ่ายใหม่</v>
      </c>
      <c r="H661" s="1" t="str">
        <f ca="1">IFERROR(__xludf.DUMMYFUNCTION("""COMPUTED_VALUE"""),"สถานะ : (C) ส่วนราชการ / บริษัท หยุด 13/11/66")</f>
        <v>สถานะ : (C) ส่วนราชการ / บริษัท หยุด 13/11/66</v>
      </c>
      <c r="I661" s="1"/>
      <c r="J661" s="1" t="str">
        <f ca="1">IFERROR(__xludf.DUMMYFUNCTION("""COMPUTED_VALUE"""),"DB2")</f>
        <v>DB2</v>
      </c>
      <c r="K661" s="1" t="str">
        <f ca="1">IFERROR(__xludf.DUMMYFUNCTION("""COMPUTED_VALUE"""),"EMS10260EVD2020")</f>
        <v>EMS10260EVD2020</v>
      </c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 ht="15.75" customHeight="1" x14ac:dyDescent="0.2">
      <c r="A662" s="7">
        <f ca="1">IFERROR(__xludf.DUMMYFUNCTION("""COMPUTED_VALUE"""),243571.540451388)</f>
        <v>243571.54045138799</v>
      </c>
      <c r="B662" s="1" t="str">
        <f ca="1">IFERROR(__xludf.DUMMYFUNCTION("""COMPUTED_VALUE"""),"CEC")</f>
        <v>CEC</v>
      </c>
      <c r="C662" s="1" t="str">
        <f ca="1">IFERROR(__xludf.DUMMYFUNCTION("""COMPUTED_VALUE"""),"RN005143686TH")</f>
        <v>RN005143686TH</v>
      </c>
      <c r="D662" s="1" t="str">
        <f ca="1">IFERROR(__xludf.DUMMYFUNCTION("""COMPUTED_VALUE"""),"เเสงสุรี")</f>
        <v>เเสงสุรี</v>
      </c>
      <c r="E662" s="1" t="str">
        <f ca="1">IFERROR(__xludf.DUMMYFUNCTION("""COMPUTED_VALUE"""),"082-2023239")</f>
        <v>082-2023239</v>
      </c>
      <c r="F662" s="1" t="str">
        <f ca="1">IFERROR(__xludf.DUMMYFUNCTION("""COMPUTED_VALUE"""),"888 ซอย บางนา-ตราด 13 แยก 3 Bang Na Nuea, Khet Bang Na, Krung Thep Maha Nakhon 10260, Thailand")</f>
        <v>888 ซอย บางนา-ตราด 13 แยก 3 Bang Na Nuea, Khet Bang Na, Krung Thep Maha Nakhon 10260, Thailand</v>
      </c>
      <c r="G662" s="1" t="str">
        <f ca="1">IFERROR(__xludf.DUMMYFUNCTION("""COMPUTED_VALUE"""),"นำจ่ายใหม่")</f>
        <v>นำจ่ายใหม่</v>
      </c>
      <c r="H662" s="1" t="str">
        <f ca="1">IFERROR(__xludf.DUMMYFUNCTION("""COMPUTED_VALUE"""),"สถานะ : (0) ออกใบแจ้ง 3/11/66")</f>
        <v>สถานะ : (0) ออกใบแจ้ง 3/11/66</v>
      </c>
      <c r="I662" s="1"/>
      <c r="J662" s="1" t="str">
        <f ca="1">IFERROR(__xludf.DUMMYFUNCTION("""COMPUTED_VALUE"""),"DB2")</f>
        <v>DB2</v>
      </c>
      <c r="K662" s="1" t="str">
        <f ca="1">IFERROR(__xludf.DUMMYFUNCTION("""COMPUTED_VALUE"""),"EMS10260EVD2014")</f>
        <v>EMS10260EVD2014</v>
      </c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 ht="15.75" customHeight="1" x14ac:dyDescent="0.2">
      <c r="A663" s="7">
        <f ca="1">IFERROR(__xludf.DUMMYFUNCTION("""COMPUTED_VALUE"""),243571.542604166)</f>
        <v>243571.542604166</v>
      </c>
      <c r="B663" s="1" t="str">
        <f ca="1">IFERROR(__xludf.DUMMYFUNCTION("""COMPUTED_VALUE"""),"CEC")</f>
        <v>CEC</v>
      </c>
      <c r="C663" s="1" t="str">
        <f ca="1">IFERROR(__xludf.DUMMYFUNCTION("""COMPUTED_VALUE"""),"EY951258178TH")</f>
        <v>EY951258178TH</v>
      </c>
      <c r="D663" s="1" t="str">
        <f ca="1">IFERROR(__xludf.DUMMYFUNCTION("""COMPUTED_VALUE"""),"จันจิรา")</f>
        <v>จันจิรา</v>
      </c>
      <c r="E663" s="1" t="str">
        <f ca="1">IFERROR(__xludf.DUMMYFUNCTION("""COMPUTED_VALUE"""),"093-0386992")</f>
        <v>093-0386992</v>
      </c>
      <c r="F663" s="1" t="str">
        <f ca="1">IFERROR(__xludf.DUMMYFUNCTION("""COMPUTED_VALUE"""),"แคมป์คนงานก่อสร้างรถไฟฟ้าสายสีเหลือง")</f>
        <v>แคมป์คนงานก่อสร้างรถไฟฟ้าสายสีเหลือง</v>
      </c>
      <c r="G663" s="1" t="str">
        <f ca="1">IFERROR(__xludf.DUMMYFUNCTION("""COMPUTED_VALUE"""),"นำจ่ายใหม่")</f>
        <v>นำจ่ายใหม่</v>
      </c>
      <c r="H663" s="1" t="str">
        <f ca="1">IFERROR(__xludf.DUMMYFUNCTION("""COMPUTED_VALUE"""),"สถานะ : (C) ส่วนราชการ / บริษัท หยุด 12/11/66")</f>
        <v>สถานะ : (C) ส่วนราชการ / บริษัท หยุด 12/11/66</v>
      </c>
      <c r="I663" s="1"/>
      <c r="J663" s="1" t="str">
        <f ca="1">IFERROR(__xludf.DUMMYFUNCTION("""COMPUTED_VALUE"""),"DB2")</f>
        <v>DB2</v>
      </c>
      <c r="K663" s="1" t="str">
        <f ca="1">IFERROR(__xludf.DUMMYFUNCTION("""COMPUTED_VALUE"""),"EMS10260EVD2010")</f>
        <v>EMS10260EVD2010</v>
      </c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 ht="15.75" customHeight="1" x14ac:dyDescent="0.2">
      <c r="A664" s="7">
        <f ca="1">IFERROR(__xludf.DUMMYFUNCTION("""COMPUTED_VALUE"""),243571.545231481)</f>
        <v>243571.545231481</v>
      </c>
      <c r="B664" s="1" t="str">
        <f ca="1">IFERROR(__xludf.DUMMYFUNCTION("""COMPUTED_VALUE"""),"CEC")</f>
        <v>CEC</v>
      </c>
      <c r="C664" s="1" t="str">
        <f ca="1">IFERROR(__xludf.DUMMYFUNCTION("""COMPUTED_VALUE"""),"ED853341003TH")</f>
        <v>ED853341003TH</v>
      </c>
      <c r="D664" s="1" t="str">
        <f ca="1">IFERROR(__xludf.DUMMYFUNCTION("""COMPUTED_VALUE"""),"ประสบ")</f>
        <v>ประสบ</v>
      </c>
      <c r="E664" s="1" t="str">
        <f ca="1">IFERROR(__xludf.DUMMYFUNCTION("""COMPUTED_VALUE"""),"095-0592111")</f>
        <v>095-0592111</v>
      </c>
      <c r="F664" s="1" t="str">
        <f ca="1">IFERROR(__xludf.DUMMYFUNCTION("""COMPUTED_VALUE"""),"709 อุดมสุข 30 แยก 13")</f>
        <v>709 อุดมสุข 30 แยก 13</v>
      </c>
      <c r="G664" s="1" t="str">
        <f ca="1">IFERROR(__xludf.DUMMYFUNCTION("""COMPUTED_VALUE"""),"นำจ่ายใหม่")</f>
        <v>นำจ่ายใหม่</v>
      </c>
      <c r="H664" s="1" t="str">
        <f ca="1">IFERROR(__xludf.DUMMYFUNCTION("""COMPUTED_VALUE"""),"สถานะ : (0) ออกใบแจ้ง 11/11/66")</f>
        <v>สถานะ : (0) ออกใบแจ้ง 11/11/66</v>
      </c>
      <c r="I664" s="1"/>
      <c r="J664" s="1" t="str">
        <f ca="1">IFERROR(__xludf.DUMMYFUNCTION("""COMPUTED_VALUE"""),"DB2")</f>
        <v>DB2</v>
      </c>
      <c r="K664" s="1" t="str">
        <f ca="1">IFERROR(__xludf.DUMMYFUNCTION("""COMPUTED_VALUE"""),"EMS10260EVD2016")</f>
        <v>EMS10260EVD2016</v>
      </c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 ht="15.75" customHeight="1" x14ac:dyDescent="0.2">
      <c r="A665" s="7">
        <f ca="1">IFERROR(__xludf.DUMMYFUNCTION("""COMPUTED_VALUE"""),243571.54792824)</f>
        <v>243571.54792824</v>
      </c>
      <c r="B665" s="1" t="str">
        <f ca="1">IFERROR(__xludf.DUMMYFUNCTION("""COMPUTED_VALUE"""),"CEC")</f>
        <v>CEC</v>
      </c>
      <c r="C665" s="1" t="str">
        <f ca="1">IFERROR(__xludf.DUMMYFUNCTION("""COMPUTED_VALUE"""),"ED939977247TH")</f>
        <v>ED939977247TH</v>
      </c>
      <c r="D665" s="1" t="str">
        <f ca="1">IFERROR(__xludf.DUMMYFUNCTION("""COMPUTED_VALUE"""),"อาภัสรา")</f>
        <v>อาภัสรา</v>
      </c>
      <c r="E665" s="1" t="str">
        <f ca="1">IFERROR(__xludf.DUMMYFUNCTION("""COMPUTED_VALUE"""),"081-9143242")</f>
        <v>081-9143242</v>
      </c>
      <c r="F665" s="1" t="str">
        <f ca="1">IFERROR(__xludf.DUMMYFUNCTION("""COMPUTED_VALUE"""),"39/45 บางนาตราด 25")</f>
        <v>39/45 บางนาตราด 25</v>
      </c>
      <c r="G665" s="1" t="str">
        <f ca="1">IFERROR(__xludf.DUMMYFUNCTION("""COMPUTED_VALUE"""),"นำจ่ายใหม่")</f>
        <v>นำจ่ายใหม่</v>
      </c>
      <c r="H665" s="1" t="str">
        <f ca="1">IFERROR(__xludf.DUMMYFUNCTION("""COMPUTED_VALUE"""),"สถานะ : (C) ส่วนราชการ / บริษัท หยุด")</f>
        <v>สถานะ : (C) ส่วนราชการ / บริษัท หยุด</v>
      </c>
      <c r="I665" s="1"/>
      <c r="J665" s="1" t="str">
        <f ca="1">IFERROR(__xludf.DUMMYFUNCTION("""COMPUTED_VALUE"""),"DB2")</f>
        <v>DB2</v>
      </c>
      <c r="K665" s="1" t="str">
        <f ca="1">IFERROR(__xludf.DUMMYFUNCTION("""COMPUTED_VALUE"""),"EMS10260EVD2010")</f>
        <v>EMS10260EVD2010</v>
      </c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 ht="15.75" customHeight="1" x14ac:dyDescent="0.2">
      <c r="A666" s="7">
        <f ca="1">IFERROR(__xludf.DUMMYFUNCTION("""COMPUTED_VALUE"""),243571.548993055)</f>
        <v>243571.54899305501</v>
      </c>
      <c r="B666" s="1" t="str">
        <f ca="1">IFERROR(__xludf.DUMMYFUNCTION("""COMPUTED_VALUE"""),"CEC")</f>
        <v>CEC</v>
      </c>
      <c r="C666" s="1" t="str">
        <f ca="1">IFERROR(__xludf.DUMMYFUNCTION("""COMPUTED_VALUE"""),"ED971980889TH")</f>
        <v>ED971980889TH</v>
      </c>
      <c r="D666" s="1" t="str">
        <f ca="1">IFERROR(__xludf.DUMMYFUNCTION("""COMPUTED_VALUE"""),"ปณ.ภาษีเจริญ")</f>
        <v>ปณ.ภาษีเจริญ</v>
      </c>
      <c r="E666" s="1" t="str">
        <f ca="1">IFERROR(__xludf.DUMMYFUNCTION("""COMPUTED_VALUE"""),"088-9878387")</f>
        <v>088-9878387</v>
      </c>
      <c r="F666" s="1" t="str">
        <f ca="1">IFERROR(__xludf.DUMMYFUNCTION("""COMPUTED_VALUE"""),"สรวิศ 7 บางนาตราด 19")</f>
        <v>สรวิศ 7 บางนาตราด 19</v>
      </c>
      <c r="G666" s="1" t="str">
        <f ca="1">IFERROR(__xludf.DUMMYFUNCTION("""COMPUTED_VALUE"""),"ตรวจสอบการนำจ่าย")</f>
        <v>ตรวจสอบการนำจ่าย</v>
      </c>
      <c r="H666" s="1" t="str">
        <f ca="1">IFERROR(__xludf.DUMMYFUNCTION("""COMPUTED_VALUE"""),"ขอถอนคืนแนบเมล์")</f>
        <v>ขอถอนคืนแนบเมล์</v>
      </c>
      <c r="I666" s="1"/>
      <c r="J666" s="1" t="str">
        <f ca="1">IFERROR(__xludf.DUMMYFUNCTION("""COMPUTED_VALUE"""),"DB2")</f>
        <v>DB2</v>
      </c>
      <c r="K666" s="1" t="str">
        <f ca="1">IFERROR(__xludf.DUMMYFUNCTION("""COMPUTED_VALUE"""),"EMS10260EVD2008")</f>
        <v>EMS10260EVD2008</v>
      </c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 ht="15.75" customHeight="1" x14ac:dyDescent="0.2">
      <c r="A667" s="7">
        <f ca="1">IFERROR(__xludf.DUMMYFUNCTION("""COMPUTED_VALUE"""),243571.550659722)</f>
        <v>243571.55065972201</v>
      </c>
      <c r="B667" s="1" t="str">
        <f ca="1">IFERROR(__xludf.DUMMYFUNCTION("""COMPUTED_VALUE"""),"CEC")</f>
        <v>CEC</v>
      </c>
      <c r="C667" s="1" t="str">
        <f ca="1">IFERROR(__xludf.DUMMYFUNCTION("""COMPUTED_VALUE"""),"EB869473506TH")</f>
        <v>EB869473506TH</v>
      </c>
      <c r="D667" s="1" t="str">
        <f ca="1">IFERROR(__xludf.DUMMYFUNCTION("""COMPUTED_VALUE"""),"วัฒนา")</f>
        <v>วัฒนา</v>
      </c>
      <c r="E667" s="1" t="str">
        <f ca="1">IFERROR(__xludf.DUMMYFUNCTION("""COMPUTED_VALUE"""),"081-9244789")</f>
        <v>081-9244789</v>
      </c>
      <c r="F667" s="1" t="str">
        <f ca="1">IFERROR(__xludf.DUMMYFUNCTION("""COMPUTED_VALUE"""),"32 บางนาตราด 16")</f>
        <v>32 บางนาตราด 16</v>
      </c>
      <c r="G667" s="1" t="str">
        <f ca="1">IFERROR(__xludf.DUMMYFUNCTION("""COMPUTED_VALUE"""),"ตรวจสอบการนำจ่าย")</f>
        <v>ตรวจสอบการนำจ่าย</v>
      </c>
      <c r="H667" s="1" t="str">
        <f ca="1">IFERROR(__xludf.DUMMYFUNCTION("""COMPUTED_VALUE"""),"นำจ่ายแล้งยังไม่ได้รับ")</f>
        <v>นำจ่ายแล้งยังไม่ได้รับ</v>
      </c>
      <c r="I667" s="1"/>
      <c r="J667" s="1" t="str">
        <f ca="1">IFERROR(__xludf.DUMMYFUNCTION("""COMPUTED_VALUE"""),"นำจ่ายรถยนต์")</f>
        <v>นำจ่ายรถยนต์</v>
      </c>
      <c r="K667" s="1" t="str">
        <f ca="1">IFERROR(__xludf.DUMMYFUNCTION("""COMPUTED_VALUE"""),"CAR10260EVD5008")</f>
        <v>CAR10260EVD5008</v>
      </c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 ht="15.75" customHeight="1" x14ac:dyDescent="0.2">
      <c r="A668" s="7">
        <f ca="1">IFERROR(__xludf.DUMMYFUNCTION("""COMPUTED_VALUE"""),243571.553298611)</f>
        <v>243571.55329861099</v>
      </c>
      <c r="B668" s="1" t="str">
        <f ca="1">IFERROR(__xludf.DUMMYFUNCTION("""COMPUTED_VALUE"""),"CEC")</f>
        <v>CEC</v>
      </c>
      <c r="C668" s="1" t="str">
        <f ca="1">IFERROR(__xludf.DUMMYFUNCTION("""COMPUTED_VALUE"""),"EK117722708TH")</f>
        <v>EK117722708TH</v>
      </c>
      <c r="D668" s="1" t="str">
        <f ca="1">IFERROR(__xludf.DUMMYFUNCTION("""COMPUTED_VALUE"""),"กมลวรรณ")</f>
        <v>กมลวรรณ</v>
      </c>
      <c r="E668" s="1" t="str">
        <f ca="1">IFERROR(__xludf.DUMMYFUNCTION("""COMPUTED_VALUE"""),"092-2801186")</f>
        <v>092-2801186</v>
      </c>
      <c r="F668" s="1" t="str">
        <f ca="1">IFERROR(__xludf.DUMMYFUNCTION("""COMPUTED_VALUE"""),"60 ลาซาล 58")</f>
        <v>60 ลาซาล 58</v>
      </c>
      <c r="G668" s="1" t="str">
        <f ca="1">IFERROR(__xludf.DUMMYFUNCTION("""COMPUTED_VALUE"""),"ตรวจสอบการนำจ่าย")</f>
        <v>ตรวจสอบการนำจ่าย</v>
      </c>
      <c r="H668" s="1" t="str">
        <f ca="1">IFERROR(__xludf.DUMMYFUNCTION("""COMPUTED_VALUE"""),"นำจ่าย13/10/2566")</f>
        <v>นำจ่าย13/10/2566</v>
      </c>
      <c r="I668" s="1"/>
      <c r="J668" s="1" t="str">
        <f ca="1">IFERROR(__xludf.DUMMYFUNCTION("""COMPUTED_VALUE"""),"DB1")</f>
        <v>DB1</v>
      </c>
      <c r="K668" s="1" t="str">
        <f ca="1">IFERROR(__xludf.DUMMYFUNCTION("""COMPUTED_VALUE"""),"EMS10260EVD0151")</f>
        <v>EMS10260EVD0151</v>
      </c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 ht="15.75" customHeight="1" x14ac:dyDescent="0.2">
      <c r="A669" s="7">
        <f ca="1">IFERROR(__xludf.DUMMYFUNCTION("""COMPUTED_VALUE"""),243571.554606481)</f>
        <v>243571.55460648099</v>
      </c>
      <c r="B669" s="1" t="str">
        <f ca="1">IFERROR(__xludf.DUMMYFUNCTION("""COMPUTED_VALUE"""),"CEC")</f>
        <v>CEC</v>
      </c>
      <c r="C669" s="1" t="str">
        <f ca="1">IFERROR(__xludf.DUMMYFUNCTION("""COMPUTED_VALUE"""),"EB510682982TH")</f>
        <v>EB510682982TH</v>
      </c>
      <c r="D669" s="1" t="str">
        <f ca="1">IFERROR(__xludf.DUMMYFUNCTION("""COMPUTED_VALUE"""),"ทัณฑิตา")</f>
        <v>ทัณฑิตา</v>
      </c>
      <c r="E669" s="1" t="str">
        <f ca="1">IFERROR(__xludf.DUMMYFUNCTION("""COMPUTED_VALUE"""),"086-1039933")</f>
        <v>086-1039933</v>
      </c>
      <c r="F669" s="1" t="str">
        <f ca="1">IFERROR(__xludf.DUMMYFUNCTION("""COMPUTED_VALUE"""),"62 วชิรธรรม 24")</f>
        <v>62 วชิรธรรม 24</v>
      </c>
      <c r="G669" s="1" t="str">
        <f ca="1">IFERROR(__xludf.DUMMYFUNCTION("""COMPUTED_VALUE"""),"นำจ่ายใหม่")</f>
        <v>นำจ่ายใหม่</v>
      </c>
      <c r="H669" s="1" t="str">
        <f ca="1">IFERROR(__xludf.DUMMYFUNCTION("""COMPUTED_VALUE"""),"สถานะ : (C) ส่วนราชการ / บริษัท หยุด")</f>
        <v>สถานะ : (C) ส่วนราชการ / บริษัท หยุด</v>
      </c>
      <c r="I669" s="1"/>
      <c r="J669" s="1" t="str">
        <f ca="1">IFERROR(__xludf.DUMMYFUNCTION("""COMPUTED_VALUE"""),"DB2")</f>
        <v>DB2</v>
      </c>
      <c r="K669" s="1" t="str">
        <f ca="1">IFERROR(__xludf.DUMMYFUNCTION("""COMPUTED_VALUE"""),"EMS10260EVD2023")</f>
        <v>EMS10260EVD2023</v>
      </c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 ht="15.75" customHeight="1" x14ac:dyDescent="0.2">
      <c r="A670" s="7">
        <f ca="1">IFERROR(__xludf.DUMMYFUNCTION("""COMPUTED_VALUE"""),243571.556076388)</f>
        <v>243571.55607638799</v>
      </c>
      <c r="B670" s="1" t="str">
        <f ca="1">IFERROR(__xludf.DUMMYFUNCTION("""COMPUTED_VALUE"""),"CEC")</f>
        <v>CEC</v>
      </c>
      <c r="C670" s="1" t="str">
        <f ca="1">IFERROR(__xludf.DUMMYFUNCTION("""COMPUTED_VALUE"""),"EM343507455TH")</f>
        <v>EM343507455TH</v>
      </c>
      <c r="D670" s="1" t="str">
        <f ca="1">IFERROR(__xludf.DUMMYFUNCTION("""COMPUTED_VALUE"""),"ฐาปนีย์")</f>
        <v>ฐาปนีย์</v>
      </c>
      <c r="E670" s="1" t="str">
        <f ca="1">IFERROR(__xludf.DUMMYFUNCTION("""COMPUTED_VALUE"""),"063-1457642")</f>
        <v>063-1457642</v>
      </c>
      <c r="F670" s="1" t="str">
        <f ca="1">IFERROR(__xludf.DUMMYFUNCTION("""COMPUTED_VALUE"""),"2098 อาคาร M ทาวเวอร์")</f>
        <v>2098 อาคาร M ทาวเวอร์</v>
      </c>
      <c r="G670" s="1" t="str">
        <f ca="1">IFERROR(__xludf.DUMMYFUNCTION("""COMPUTED_VALUE"""),"ตรวจสอบการนำจ่าย")</f>
        <v>ตรวจสอบการนำจ่าย</v>
      </c>
      <c r="H670" s="1" t="str">
        <f ca="1">IFERROR(__xludf.DUMMYFUNCTION("""COMPUTED_VALUE"""),"นำจ่าย 13/11/66")</f>
        <v>นำจ่าย 13/11/66</v>
      </c>
      <c r="I670" s="1"/>
      <c r="J670" s="1" t="str">
        <f ca="1">IFERROR(__xludf.DUMMYFUNCTION("""COMPUTED_VALUE"""),"นำจ่ายรถยนต์")</f>
        <v>นำจ่ายรถยนต์</v>
      </c>
      <c r="K670" s="1" t="str">
        <f ca="1">IFERROR(__xludf.DUMMYFUNCTION("""COMPUTED_VALUE"""),"CAR10260EVD5002")</f>
        <v>CAR10260EVD5002</v>
      </c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 ht="15.75" customHeight="1" x14ac:dyDescent="0.2">
      <c r="A671" s="7">
        <f ca="1">IFERROR(__xludf.DUMMYFUNCTION("""COMPUTED_VALUE"""),243572.455601851)</f>
        <v>243572.45560185099</v>
      </c>
      <c r="B671" s="1" t="str">
        <f ca="1">IFERROR(__xludf.DUMMYFUNCTION("""COMPUTED_VALUE"""),"On Queue")</f>
        <v>On Queue</v>
      </c>
      <c r="C671" s="1" t="str">
        <f ca="1">IFERROR(__xludf.DUMMYFUNCTION("""COMPUTED_VALUE"""),"RI901255457TH")</f>
        <v>RI901255457TH</v>
      </c>
      <c r="D671" s="1" t="str">
        <f ca="1">IFERROR(__xludf.DUMMYFUNCTION("""COMPUTED_VALUE"""),"กิติพจน์")</f>
        <v>กิติพจน์</v>
      </c>
      <c r="E671" s="1" t="str">
        <f ca="1">IFERROR(__xludf.DUMMYFUNCTION("""COMPUTED_VALUE"""),"0923961546")</f>
        <v>0923961546</v>
      </c>
      <c r="F671" s="1" t="str">
        <f ca="1">IFERROR(__xludf.DUMMYFUNCTION("""COMPUTED_VALUE"""),"818 Soi Sukhumvit 105, Khwaeng Bang Na, Khet Bang Na, Krung Thep Maha Nakhon 10260, Thailand")</f>
        <v>818 Soi Sukhumvit 105, Khwaeng Bang Na, Khet Bang Na, Krung Thep Maha Nakhon 10260, Thailand</v>
      </c>
      <c r="G671" s="1" t="str">
        <f ca="1">IFERROR(__xludf.DUMMYFUNCTION("""COMPUTED_VALUE"""),"ตรวจสอบการนำจ่าย")</f>
        <v>ตรวจสอบการนำจ่าย</v>
      </c>
      <c r="H671" s="1" t="str">
        <f ca="1">IFERROR(__xludf.DUMMYFUNCTION("""COMPUTED_VALUE"""),"ยังไม่พบการเตรียมการ")</f>
        <v>ยังไม่พบการเตรียมการ</v>
      </c>
      <c r="I671" s="1" t="str">
        <f ca="1">IFERROR(__xludf.DUMMYFUNCTION("""COMPUTED_VALUE"""),"ประสานงานแจ้ง DB1 ตรวจสอบ")</f>
        <v>ประสานงานแจ้ง DB1 ตรวจสอบ</v>
      </c>
      <c r="J671" s="1" t="str">
        <f ca="1">IFERROR(__xludf.DUMMYFUNCTION("""COMPUTED_VALUE"""),"นำจ่ายรถยนต์")</f>
        <v>นำจ่ายรถยนต์</v>
      </c>
      <c r="K671" s="1" t="str">
        <f ca="1">IFERROR(__xludf.DUMMYFUNCTION("""COMPUTED_VALUE"""),"ZNE10260EVD1003")</f>
        <v>ZNE10260EVD1003</v>
      </c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 ht="15.75" customHeight="1" x14ac:dyDescent="0.2">
      <c r="A672" s="7">
        <f ca="1">IFERROR(__xludf.DUMMYFUNCTION("""COMPUTED_VALUE"""),243573.314421296)</f>
        <v>243573.314421296</v>
      </c>
      <c r="B672" s="1" t="str">
        <f ca="1">IFERROR(__xludf.DUMMYFUNCTION("""COMPUTED_VALUE"""),"CEC")</f>
        <v>CEC</v>
      </c>
      <c r="C672" s="1" t="str">
        <f ca="1">IFERROR(__xludf.DUMMYFUNCTION("""COMPUTED_VALUE"""),"RE666669622TH")</f>
        <v>RE666669622TH</v>
      </c>
      <c r="D672" s="1" t="str">
        <f ca="1">IFERROR(__xludf.DUMMYFUNCTION("""COMPUTED_VALUE"""),"ภัทราพร")</f>
        <v>ภัทราพร</v>
      </c>
      <c r="E672" s="1" t="str">
        <f ca="1">IFERROR(__xludf.DUMMYFUNCTION("""COMPUTED_VALUE"""),"087-1603006")</f>
        <v>087-1603006</v>
      </c>
      <c r="F672" s="1" t="str">
        <f ca="1">IFERROR(__xludf.DUMMYFUNCTION("""COMPUTED_VALUE"""),"6/233 วิสดอมปุณณวิถี")</f>
        <v>6/233 วิสดอมปุณณวิถี</v>
      </c>
      <c r="G672" s="1" t="str">
        <f ca="1">IFERROR(__xludf.DUMMYFUNCTION("""COMPUTED_VALUE"""),"ตรวจสอบการนำจ่าย")</f>
        <v>ตรวจสอบการนำจ่าย</v>
      </c>
      <c r="H672" s="1" t="str">
        <f ca="1">IFERROR(__xludf.DUMMYFUNCTION("""COMPUTED_VALUE"""),"นำจ่าย 9/11/66")</f>
        <v>นำจ่าย 9/11/66</v>
      </c>
      <c r="I672" s="1" t="str">
        <f ca="1">IFERROR(__xludf.DUMMYFUNCTION("""COMPUTED_VALUE"""),"แจ้งประสานดีบีแล้ว")</f>
        <v>แจ้งประสานดีบีแล้ว</v>
      </c>
      <c r="J672" s="1" t="str">
        <f ca="1">IFERROR(__xludf.DUMMYFUNCTION("""COMPUTED_VALUE"""),"DB4")</f>
        <v>DB4</v>
      </c>
      <c r="K672" s="1" t="str">
        <f ca="1">IFERROR(__xludf.DUMMYFUNCTION("""COMPUTED_VALUE"""),"EMS10260EVD4004")</f>
        <v>EMS10260EVD4004</v>
      </c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 ht="15.75" customHeight="1" x14ac:dyDescent="0.2">
      <c r="A673" s="7">
        <f ca="1">IFERROR(__xludf.DUMMYFUNCTION("""COMPUTED_VALUE"""),243573.321284722)</f>
        <v>243573.32128472201</v>
      </c>
      <c r="B673" s="1" t="str">
        <f ca="1">IFERROR(__xludf.DUMMYFUNCTION("""COMPUTED_VALUE"""),"CEC")</f>
        <v>CEC</v>
      </c>
      <c r="C673" s="1" t="str">
        <f ca="1">IFERROR(__xludf.DUMMYFUNCTION("""COMPUTED_VALUE"""),"EJ533359188TH")</f>
        <v>EJ533359188TH</v>
      </c>
      <c r="D673" s="1" t="str">
        <f ca="1">IFERROR(__xludf.DUMMYFUNCTION("""COMPUTED_VALUE"""),"กนกวรรณ")</f>
        <v>กนกวรรณ</v>
      </c>
      <c r="E673" s="1" t="str">
        <f ca="1">IFERROR(__xludf.DUMMYFUNCTION("""COMPUTED_VALUE"""),"080-0864742")</f>
        <v>080-0864742</v>
      </c>
      <c r="F673" s="1" t="str">
        <f ca="1">IFERROR(__xludf.DUMMYFUNCTION("""COMPUTED_VALUE"""),"9 บางนาอพาร์ทเม้นท์ บางนาตราด 19")</f>
        <v>9 บางนาอพาร์ทเม้นท์ บางนาตราด 19</v>
      </c>
      <c r="G673" s="1" t="str">
        <f ca="1">IFERROR(__xludf.DUMMYFUNCTION("""COMPUTED_VALUE"""),"นำจ่ายใหม่")</f>
        <v>นำจ่ายใหม่</v>
      </c>
      <c r="H673" s="1" t="str">
        <f ca="1">IFERROR(__xludf.DUMMYFUNCTION("""COMPUTED_VALUE"""),"สถานะ : (0) ออกใบแจ้ง")</f>
        <v>สถานะ : (0) ออกใบแจ้ง</v>
      </c>
      <c r="I673" s="1" t="str">
        <f ca="1">IFERROR(__xludf.DUMMYFUNCTION("""COMPUTED_VALUE"""),"นำจ่ายใหม่เรียบร้อย")</f>
        <v>นำจ่ายใหม่เรียบร้อย</v>
      </c>
      <c r="J673" s="1" t="str">
        <f ca="1">IFERROR(__xludf.DUMMYFUNCTION("""COMPUTED_VALUE"""),"DB2")</f>
        <v>DB2</v>
      </c>
      <c r="K673" s="1" t="str">
        <f ca="1">IFERROR(__xludf.DUMMYFUNCTION("""COMPUTED_VALUE"""),"EMS10260EVD2007")</f>
        <v>EMS10260EVD2007</v>
      </c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 ht="15.75" customHeight="1" x14ac:dyDescent="0.2">
      <c r="A674" s="7">
        <f ca="1">IFERROR(__xludf.DUMMYFUNCTION("""COMPUTED_VALUE"""),243573.323136574)</f>
        <v>243573.32313657401</v>
      </c>
      <c r="B674" s="1" t="str">
        <f ca="1">IFERROR(__xludf.DUMMYFUNCTION("""COMPUTED_VALUE"""),"CEC")</f>
        <v>CEC</v>
      </c>
      <c r="C674" s="1" t="str">
        <f ca="1">IFERROR(__xludf.DUMMYFUNCTION("""COMPUTED_VALUE"""),"RY710834255TH")</f>
        <v>RY710834255TH</v>
      </c>
      <c r="D674" s="1" t="str">
        <f ca="1">IFERROR(__xludf.DUMMYFUNCTION("""COMPUTED_VALUE"""),"ลักษณา")</f>
        <v>ลักษณา</v>
      </c>
      <c r="E674" s="1" t="str">
        <f ca="1">IFERROR(__xludf.DUMMYFUNCTION("""COMPUTED_VALUE"""),"081-9087793")</f>
        <v>081-9087793</v>
      </c>
      <c r="F674" s="1" t="str">
        <f ca="1">IFERROR(__xludf.DUMMYFUNCTION("""COMPUTED_VALUE"""),"6 อุดมสุข 42 แยก 1")</f>
        <v>6 อุดมสุข 42 แยก 1</v>
      </c>
      <c r="G674" s="1" t="str">
        <f ca="1">IFERROR(__xludf.DUMMYFUNCTION("""COMPUTED_VALUE"""),"ตรวจสอบการนำจ่าย")</f>
        <v>ตรวจสอบการนำจ่าย</v>
      </c>
      <c r="H674" s="1" t="str">
        <f ca="1">IFERROR(__xludf.DUMMYFUNCTION("""COMPUTED_VALUE"""),"ขอรับเองที่ ปณ.")</f>
        <v>ขอรับเองที่ ปณ.</v>
      </c>
      <c r="I674" s="1"/>
      <c r="J674" s="1" t="str">
        <f ca="1">IFERROR(__xludf.DUMMYFUNCTION("""COMPUTED_VALUE"""),"DB2")</f>
        <v>DB2</v>
      </c>
      <c r="K674" s="1" t="str">
        <f ca="1">IFERROR(__xludf.DUMMYFUNCTION("""COMPUTED_VALUE"""),"EMS10260EVD2019")</f>
        <v>EMS10260EVD2019</v>
      </c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 ht="15.75" customHeight="1" x14ac:dyDescent="0.2">
      <c r="A675" s="7">
        <f ca="1">IFERROR(__xludf.DUMMYFUNCTION("""COMPUTED_VALUE"""),243573.325347222)</f>
        <v>243573.32534722201</v>
      </c>
      <c r="B675" s="1" t="str">
        <f ca="1">IFERROR(__xludf.DUMMYFUNCTION("""COMPUTED_VALUE"""),"CEC")</f>
        <v>CEC</v>
      </c>
      <c r="C675" s="1" t="str">
        <f ca="1">IFERROR(__xludf.DUMMYFUNCTION("""COMPUTED_VALUE"""),"ED998602545TH")</f>
        <v>ED998602545TH</v>
      </c>
      <c r="D675" s="1" t="str">
        <f ca="1">IFERROR(__xludf.DUMMYFUNCTION("""COMPUTED_VALUE"""),"ผู้ส่ง")</f>
        <v>ผู้ส่ง</v>
      </c>
      <c r="E675" s="1" t="str">
        <f ca="1">IFERROR(__xludf.DUMMYFUNCTION("""COMPUTED_VALUE"""),"092-4738208")</f>
        <v>092-4738208</v>
      </c>
      <c r="F675" s="1" t="str">
        <f ca="1">IFERROR(__xludf.DUMMYFUNCTION("""COMPUTED_VALUE"""),"14 สบายเอ็กเพรส วชิรธรรม 14")</f>
        <v>14 สบายเอ็กเพรส วชิรธรรม 14</v>
      </c>
      <c r="G675" s="1" t="str">
        <f ca="1">IFERROR(__xludf.DUMMYFUNCTION("""COMPUTED_VALUE"""),"ตรวจสอบการนำจ่าย")</f>
        <v>ตรวจสอบการนำจ่าย</v>
      </c>
      <c r="H675" s="1" t="str">
        <f ca="1">IFERROR(__xludf.DUMMYFUNCTION("""COMPUTED_VALUE"""),"ยังไม่บันทึกผล")</f>
        <v>ยังไม่บันทึกผล</v>
      </c>
      <c r="I675" s="1" t="str">
        <f ca="1">IFERROR(__xludf.DUMMYFUNCTION("""COMPUTED_VALUE"""),"ดำเนินการเรียบร้อย")</f>
        <v>ดำเนินการเรียบร้อย</v>
      </c>
      <c r="J675" s="1" t="str">
        <f ca="1">IFERROR(__xludf.DUMMYFUNCTION("""COMPUTED_VALUE"""),"นำจ่ายรถยนต์")</f>
        <v>นำจ่ายรถยนต์</v>
      </c>
      <c r="K675" s="1" t="str">
        <f ca="1">IFERROR(__xludf.DUMMYFUNCTION("""COMPUTED_VALUE"""),"CAR10260EVD5012")</f>
        <v>CAR10260EVD5012</v>
      </c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 ht="15.75" customHeight="1" x14ac:dyDescent="0.2">
      <c r="A676" s="7">
        <f ca="1">IFERROR(__xludf.DUMMYFUNCTION("""COMPUTED_VALUE"""),243573.328969907)</f>
        <v>243573.32896990699</v>
      </c>
      <c r="B676" s="1" t="str">
        <f ca="1">IFERROR(__xludf.DUMMYFUNCTION("""COMPUTED_VALUE"""),"CEC")</f>
        <v>CEC</v>
      </c>
      <c r="C676" s="1" t="str">
        <f ca="1">IFERROR(__xludf.DUMMYFUNCTION("""COMPUTED_VALUE"""),"EB949229765TH")</f>
        <v>EB949229765TH</v>
      </c>
      <c r="D676" s="1" t="str">
        <f ca="1">IFERROR(__xludf.DUMMYFUNCTION("""COMPUTED_VALUE"""),"ธัญธร")</f>
        <v>ธัญธร</v>
      </c>
      <c r="E676" s="1" t="str">
        <f ca="1">IFERROR(__xludf.DUMMYFUNCTION("""COMPUTED_VALUE"""),"064-6324592")</f>
        <v>064-6324592</v>
      </c>
      <c r="F676" s="1" t="str">
        <f ca="1">IFERROR(__xludf.DUMMYFUNCTION("""COMPUTED_VALUE"""),"26 ปุณณวิถี 12")</f>
        <v>26 ปุณณวิถี 12</v>
      </c>
      <c r="G676" s="1" t="str">
        <f ca="1">IFERROR(__xludf.DUMMYFUNCTION("""COMPUTED_VALUE"""),"นำจ่ายใหม่")</f>
        <v>นำจ่ายใหม่</v>
      </c>
      <c r="H676" s="1" t="str">
        <f ca="1">IFERROR(__xludf.DUMMYFUNCTION("""COMPUTED_VALUE"""),"สถานะ : (0) ออกใบแจ้ง 11/11/66")</f>
        <v>สถานะ : (0) ออกใบแจ้ง 11/11/66</v>
      </c>
      <c r="I676" s="1"/>
      <c r="J676" s="1" t="str">
        <f ca="1">IFERROR(__xludf.DUMMYFUNCTION("""COMPUTED_VALUE"""),"DB3")</f>
        <v>DB3</v>
      </c>
      <c r="K676" s="1" t="str">
        <f ca="1">IFERROR(__xludf.DUMMYFUNCTION("""COMPUTED_VALUE"""),"EMS10260EVD3022")</f>
        <v>EMS10260EVD3022</v>
      </c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 ht="15.75" customHeight="1" x14ac:dyDescent="0.2">
      <c r="A677" s="7">
        <f ca="1">IFERROR(__xludf.DUMMYFUNCTION("""COMPUTED_VALUE"""),243573.333784722)</f>
        <v>243573.333784722</v>
      </c>
      <c r="B677" s="1" t="str">
        <f ca="1">IFERROR(__xludf.DUMMYFUNCTION("""COMPUTED_VALUE"""),"CEC")</f>
        <v>CEC</v>
      </c>
      <c r="C677" s="1" t="str">
        <f ca="1">IFERROR(__xludf.DUMMYFUNCTION("""COMPUTED_VALUE"""),"ED902934756TH")</f>
        <v>ED902934756TH</v>
      </c>
      <c r="D677" s="1" t="str">
        <f ca="1">IFERROR(__xludf.DUMMYFUNCTION("""COMPUTED_VALUE"""),"บ.คอนโทรล ยูเนียน")</f>
        <v>บ.คอนโทรล ยูเนียน</v>
      </c>
      <c r="E677" s="1" t="str">
        <f ca="1">IFERROR(__xludf.DUMMYFUNCTION("""COMPUTED_VALUE"""),"089-1139421")</f>
        <v>089-1139421</v>
      </c>
      <c r="F677" s="1" t="str">
        <f ca="1">IFERROR(__xludf.DUMMYFUNCTION("""COMPUTED_VALUE"""),"987-989 ลาซาล 75")</f>
        <v>987-989 ลาซาล 75</v>
      </c>
      <c r="G677" s="1" t="str">
        <f ca="1">IFERROR(__xludf.DUMMYFUNCTION("""COMPUTED_VALUE"""),"ตรวจสอบการนำจ่าย")</f>
        <v>ตรวจสอบการนำจ่าย</v>
      </c>
      <c r="H677" s="1" t="str">
        <f ca="1">IFERROR(__xludf.DUMMYFUNCTION("""COMPUTED_VALUE"""),"นำจ่าย 14/11/66 ยังไมได้รับ")</f>
        <v>นำจ่าย 14/11/66 ยังไมได้รับ</v>
      </c>
      <c r="I677" s="1" t="str">
        <f ca="1">IFERROR(__xludf.DUMMYFUNCTION("""COMPUTED_VALUE"""),"แจ้งดีบีตรวจสอบแล้ว")</f>
        <v>แจ้งดีบีตรวจสอบแล้ว</v>
      </c>
      <c r="J677" s="1" t="str">
        <f ca="1">IFERROR(__xludf.DUMMYFUNCTION("""COMPUTED_VALUE"""),"DB1")</f>
        <v>DB1</v>
      </c>
      <c r="K677" s="1" t="str">
        <f ca="1">IFERROR(__xludf.DUMMYFUNCTION("""COMPUTED_VALUE"""),"EMS10260EVD1025")</f>
        <v>EMS10260EVD1025</v>
      </c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 ht="15.75" customHeight="1" x14ac:dyDescent="0.2">
      <c r="A678" s="7">
        <f ca="1">IFERROR(__xludf.DUMMYFUNCTION("""COMPUTED_VALUE"""),243573.335173611)</f>
        <v>243573.33517361101</v>
      </c>
      <c r="B678" s="1" t="str">
        <f ca="1">IFERROR(__xludf.DUMMYFUNCTION("""COMPUTED_VALUE"""),"CEC")</f>
        <v>CEC</v>
      </c>
      <c r="C678" s="1" t="str">
        <f ca="1">IFERROR(__xludf.DUMMYFUNCTION("""COMPUTED_VALUE"""),"EJ544131808TH")</f>
        <v>EJ544131808TH</v>
      </c>
      <c r="D678" s="1" t="str">
        <f ca="1">IFERROR(__xludf.DUMMYFUNCTION("""COMPUTED_VALUE"""),"ธัญภรณ์")</f>
        <v>ธัญภรณ์</v>
      </c>
      <c r="E678" s="1" t="str">
        <f ca="1">IFERROR(__xludf.DUMMYFUNCTION("""COMPUTED_VALUE"""),"098-8614789")</f>
        <v>098-8614789</v>
      </c>
      <c r="F678" s="1" t="str">
        <f ca="1">IFERROR(__xludf.DUMMYFUNCTION("""COMPUTED_VALUE"""),"12 ลาซาล 29")</f>
        <v>12 ลาซาล 29</v>
      </c>
      <c r="G678" s="1" t="str">
        <f ca="1">IFERROR(__xludf.DUMMYFUNCTION("""COMPUTED_VALUE"""),"ตรวจสอบการนำจ่าย")</f>
        <v>ตรวจสอบการนำจ่าย</v>
      </c>
      <c r="H678" s="1" t="str">
        <f ca="1">IFERROR(__xludf.DUMMYFUNCTION("""COMPUTED_VALUE"""),"นำจ่าย 11/11/66 ยังไม่ได้รับ")</f>
        <v>นำจ่าย 11/11/66 ยังไม่ได้รับ</v>
      </c>
      <c r="I678" s="1" t="str">
        <f ca="1">IFERROR(__xludf.DUMMYFUNCTION("""COMPUTED_VALUE"""),"แจ้งดีบีแล้ว")</f>
        <v>แจ้งดีบีแล้ว</v>
      </c>
      <c r="J678" s="1" t="str">
        <f ca="1">IFERROR(__xludf.DUMMYFUNCTION("""COMPUTED_VALUE"""),"DB1")</f>
        <v>DB1</v>
      </c>
      <c r="K678" s="1" t="str">
        <f ca="1">IFERROR(__xludf.DUMMYFUNCTION("""COMPUTED_VALUE"""),"EMS10260EVD1022")</f>
        <v>EMS10260EVD1022</v>
      </c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 ht="15.75" customHeight="1" x14ac:dyDescent="0.2">
      <c r="A679" s="7">
        <f ca="1">IFERROR(__xludf.DUMMYFUNCTION("""COMPUTED_VALUE"""),243573.337349537)</f>
        <v>243573.337349537</v>
      </c>
      <c r="B679" s="1" t="str">
        <f ca="1">IFERROR(__xludf.DUMMYFUNCTION("""COMPUTED_VALUE"""),"CEC")</f>
        <v>CEC</v>
      </c>
      <c r="C679" s="1" t="str">
        <f ca="1">IFERROR(__xludf.DUMMYFUNCTION("""COMPUTED_VALUE"""),"ED897058555TH")</f>
        <v>ED897058555TH</v>
      </c>
      <c r="D679" s="1" t="str">
        <f ca="1">IFERROR(__xludf.DUMMYFUNCTION("""COMPUTED_VALUE"""),"มณลภัส")</f>
        <v>มณลภัส</v>
      </c>
      <c r="E679" s="1" t="str">
        <f ca="1">IFERROR(__xludf.DUMMYFUNCTION("""COMPUTED_VALUE"""),"096-9629551")</f>
        <v>096-9629551</v>
      </c>
      <c r="F679" s="1" t="str">
        <f ca="1">IFERROR(__xludf.DUMMYFUNCTION("""COMPUTED_VALUE"""),"3199 Sukhumvit Road, Bang Na Nuea, Khet Bang Na, Krung Thep Maha Nakhon 10260, Thailand")</f>
        <v>3199 Sukhumvit Road, Bang Na Nuea, Khet Bang Na, Krung Thep Maha Nakhon 10260, Thailand</v>
      </c>
      <c r="G679" s="1" t="str">
        <f ca="1">IFERROR(__xludf.DUMMYFUNCTION("""COMPUTED_VALUE"""),"นำจ่ายใหม่")</f>
        <v>นำจ่ายใหม่</v>
      </c>
      <c r="H679" s="1" t="str">
        <f ca="1">IFERROR(__xludf.DUMMYFUNCTION("""COMPUTED_VALUE"""),"COD 1290 บ")</f>
        <v>COD 1290 บ</v>
      </c>
      <c r="I679" s="1" t="str">
        <f ca="1">IFERROR(__xludf.DUMMYFUNCTION("""COMPUTED_VALUE"""),"นำจ่ายใหม่แล้ว")</f>
        <v>นำจ่ายใหม่แล้ว</v>
      </c>
      <c r="J679" s="1" t="str">
        <f ca="1">IFERROR(__xludf.DUMMYFUNCTION("""COMPUTED_VALUE"""),"DB2")</f>
        <v>DB2</v>
      </c>
      <c r="K679" s="1" t="str">
        <f ca="1">IFERROR(__xludf.DUMMYFUNCTION("""COMPUTED_VALUE"""),"EMS10260EVD2020")</f>
        <v>EMS10260EVD2020</v>
      </c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 ht="15.75" customHeight="1" x14ac:dyDescent="0.2">
      <c r="A680" s="7">
        <f ca="1">IFERROR(__xludf.DUMMYFUNCTION("""COMPUTED_VALUE"""),243573.339479166)</f>
        <v>243573.339479166</v>
      </c>
      <c r="B680" s="1" t="str">
        <f ca="1">IFERROR(__xludf.DUMMYFUNCTION("""COMPUTED_VALUE"""),"CEC")</f>
        <v>CEC</v>
      </c>
      <c r="C680" s="1" t="str">
        <f ca="1">IFERROR(__xludf.DUMMYFUNCTION("""COMPUTED_VALUE"""),"ED865590215TH")</f>
        <v>ED865590215TH</v>
      </c>
      <c r="D680" s="1" t="str">
        <f ca="1">IFERROR(__xludf.DUMMYFUNCTION("""COMPUTED_VALUE"""),"สุพิชญา")</f>
        <v>สุพิชญา</v>
      </c>
      <c r="E680" s="1" t="str">
        <f ca="1">IFERROR(__xludf.DUMMYFUNCTION("""COMPUTED_VALUE"""),"085-1551347")</f>
        <v>085-1551347</v>
      </c>
      <c r="F680" s="1" t="str">
        <f ca="1">IFERROR(__xludf.DUMMYFUNCTION("""COMPUTED_VALUE"""),"54 ลาซาล 79")</f>
        <v>54 ลาซาล 79</v>
      </c>
      <c r="G680" s="1" t="str">
        <f ca="1">IFERROR(__xludf.DUMMYFUNCTION("""COMPUTED_VALUE"""),"ตรวจสอบการนำจ่าย")</f>
        <v>ตรวจสอบการนำจ่าย</v>
      </c>
      <c r="H680" s="1" t="str">
        <f ca="1">IFERROR(__xludf.DUMMYFUNCTION("""COMPUTED_VALUE"""),"นำจ่าย 14/11/66 ยังไม่ได้รับ")</f>
        <v>นำจ่าย 14/11/66 ยังไม่ได้รับ</v>
      </c>
      <c r="I680" s="1" t="str">
        <f ca="1">IFERROR(__xludf.DUMMYFUNCTION("""COMPUTED_VALUE"""),"แจ้งรถยนต์ตรวจสอบแล้ว")</f>
        <v>แจ้งรถยนต์ตรวจสอบแล้ว</v>
      </c>
      <c r="J680" s="1" t="str">
        <f ca="1">IFERROR(__xludf.DUMMYFUNCTION("""COMPUTED_VALUE"""),"นำจ่ายรถยนต์")</f>
        <v>นำจ่ายรถยนต์</v>
      </c>
      <c r="K680" s="1" t="str">
        <f ca="1">IFERROR(__xludf.DUMMYFUNCTION("""COMPUTED_VALUE"""),"CAR10260EVD5005")</f>
        <v>CAR10260EVD5005</v>
      </c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 ht="15.75" customHeight="1" x14ac:dyDescent="0.2">
      <c r="A681" s="7">
        <f ca="1">IFERROR(__xludf.DUMMYFUNCTION("""COMPUTED_VALUE"""),243573.341192129)</f>
        <v>243573.34119212901</v>
      </c>
      <c r="B681" s="1" t="str">
        <f ca="1">IFERROR(__xludf.DUMMYFUNCTION("""COMPUTED_VALUE"""),"CEC")</f>
        <v>CEC</v>
      </c>
      <c r="C681" s="1" t="str">
        <f ca="1">IFERROR(__xludf.DUMMYFUNCTION("""COMPUTED_VALUE"""),"EM352773074TH")</f>
        <v>EM352773074TH</v>
      </c>
      <c r="D681" s="1" t="str">
        <f ca="1">IFERROR(__xludf.DUMMYFUNCTION("""COMPUTED_VALUE"""),"พิชิต")</f>
        <v>พิชิต</v>
      </c>
      <c r="E681" s="1" t="str">
        <f ca="1">IFERROR(__xludf.DUMMYFUNCTION("""COMPUTED_VALUE"""),"062-5639329")</f>
        <v>062-5639329</v>
      </c>
      <c r="F681" s="1" t="str">
        <f ca="1">IFERROR(__xludf.DUMMYFUNCTION("""COMPUTED_VALUE"""),"62 ซอย สุขุมวิท 75/1 Khwaeng Phra Khanong Nuea, Watthana, Krung Thep Maha Nakhon 10260, Thailand")</f>
        <v>62 ซอย สุขุมวิท 75/1 Khwaeng Phra Khanong Nuea, Watthana, Krung Thep Maha Nakhon 10260, Thailand</v>
      </c>
      <c r="G681" s="1" t="str">
        <f ca="1">IFERROR(__xludf.DUMMYFUNCTION("""COMPUTED_VALUE"""),"นำจ่ายใหม่")</f>
        <v>นำจ่ายใหม่</v>
      </c>
      <c r="H681" s="1" t="str">
        <f ca="1">IFERROR(__xludf.DUMMYFUNCTION("""COMPUTED_VALUE"""),"COD 999 บ")</f>
        <v>COD 999 บ</v>
      </c>
      <c r="I681" s="1" t="str">
        <f ca="1">IFERROR(__xludf.DUMMYFUNCTION("""COMPUTED_VALUE"""),"นำจ่ายเรียบร้อย")</f>
        <v>นำจ่ายเรียบร้อย</v>
      </c>
      <c r="J681" s="1" t="str">
        <f ca="1">IFERROR(__xludf.DUMMYFUNCTION("""COMPUTED_VALUE"""),"นำจ่ายรถยนต์")</f>
        <v>นำจ่ายรถยนต์</v>
      </c>
      <c r="K681" s="1" t="str">
        <f ca="1">IFERROR(__xludf.DUMMYFUNCTION("""COMPUTED_VALUE"""),"CAR10260EVD5014")</f>
        <v>CAR10260EVD5014</v>
      </c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 ht="15.75" customHeight="1" x14ac:dyDescent="0.2">
      <c r="A682" s="7">
        <f ca="1">IFERROR(__xludf.DUMMYFUNCTION("""COMPUTED_VALUE"""),243573.34261574)</f>
        <v>243573.34261574</v>
      </c>
      <c r="B682" s="1" t="str">
        <f ca="1">IFERROR(__xludf.DUMMYFUNCTION("""COMPUTED_VALUE"""),"CEC")</f>
        <v>CEC</v>
      </c>
      <c r="C682" s="1" t="str">
        <f ca="1">IFERROR(__xludf.DUMMYFUNCTION("""COMPUTED_VALUE"""),"EM242213333TH")</f>
        <v>EM242213333TH</v>
      </c>
      <c r="D682" s="1" t="str">
        <f ca="1">IFERROR(__xludf.DUMMYFUNCTION("""COMPUTED_VALUE"""),"นภัสนันท์")</f>
        <v>นภัสนันท์</v>
      </c>
      <c r="E682" s="1" t="str">
        <f ca="1">IFERROR(__xludf.DUMMYFUNCTION("""COMPUTED_VALUE"""),"085-0671747")</f>
        <v>085-0671747</v>
      </c>
      <c r="F682" s="1" t="str">
        <f ca="1">IFERROR(__xludf.DUMMYFUNCTION("""COMPUTED_VALUE"""),"1201/83 พาร์คแลนด์คอนโด")</f>
        <v>1201/83 พาร์คแลนด์คอนโด</v>
      </c>
      <c r="G682" s="1" t="str">
        <f ca="1">IFERROR(__xludf.DUMMYFUNCTION("""COMPUTED_VALUE"""),"ตรวจสอบการนำจ่าย")</f>
        <v>ตรวจสอบการนำจ่าย</v>
      </c>
      <c r="H682" s="1" t="str">
        <f ca="1">IFERROR(__xludf.DUMMYFUNCTION("""COMPUTED_VALUE"""),"นำจ่าย 12/11/66")</f>
        <v>นำจ่าย 12/11/66</v>
      </c>
      <c r="I682" s="1" t="str">
        <f ca="1">IFERROR(__xludf.DUMMYFUNCTION("""COMPUTED_VALUE"""),"นำจ่ายผิดติดตามนำจ่ายใหม่แล้ว")</f>
        <v>นำจ่ายผิดติดตามนำจ่ายใหม่แล้ว</v>
      </c>
      <c r="J682" s="1" t="str">
        <f ca="1">IFERROR(__xludf.DUMMYFUNCTION("""COMPUTED_VALUE"""),"นำจ่ายรถยนต์")</f>
        <v>นำจ่ายรถยนต์</v>
      </c>
      <c r="K682" s="1" t="str">
        <f ca="1">IFERROR(__xludf.DUMMYFUNCTION("""COMPUTED_VALUE"""),"CAR10260EVD5008")</f>
        <v>CAR10260EVD5008</v>
      </c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 ht="15.75" customHeight="1" x14ac:dyDescent="0.2">
      <c r="A683" s="7">
        <f ca="1">IFERROR(__xludf.DUMMYFUNCTION("""COMPUTED_VALUE"""),243573.3453125)</f>
        <v>243573.34531249999</v>
      </c>
      <c r="B683" s="1" t="str">
        <f ca="1">IFERROR(__xludf.DUMMYFUNCTION("""COMPUTED_VALUE"""),"CEC")</f>
        <v>CEC</v>
      </c>
      <c r="C683" s="1" t="str">
        <f ca="1">IFERROR(__xludf.DUMMYFUNCTION("""COMPUTED_VALUE"""),"-")</f>
        <v>-</v>
      </c>
      <c r="D683" s="1" t="str">
        <f ca="1">IFERROR(__xludf.DUMMYFUNCTION("""COMPUTED_VALUE"""),"รุ้ง")</f>
        <v>รุ้ง</v>
      </c>
      <c r="E683" s="1" t="str">
        <f ca="1">IFERROR(__xludf.DUMMYFUNCTION("""COMPUTED_VALUE"""),"085-8337141")</f>
        <v>085-8337141</v>
      </c>
      <c r="F683" s="1" t="str">
        <f ca="1">IFERROR(__xludf.DUMMYFUNCTION("""COMPUTED_VALUE"""),"87 Soi Bang Na-Trat 21, Bang Na Nuea, Khet Bang Na, Krung Thep Maha Nakhon 10260, Thailand")</f>
        <v>87 Soi Bang Na-Trat 21, Bang Na Nuea, Khet Bang Na, Krung Thep Maha Nakhon 10260, Thailand</v>
      </c>
      <c r="G683" s="1" t="str">
        <f ca="1">IFERROR(__xludf.DUMMYFUNCTION("""COMPUTED_VALUE"""),"ร้องเรียนบริการ")</f>
        <v>ร้องเรียนบริการ</v>
      </c>
      <c r="H683" s="1" t="str">
        <f ca="1">IFERROR(__xludf.DUMMYFUNCTION("""COMPUTED_VALUE"""),"ผู้รับไม่ได้รับเอกสารจดหมายธรรมดา ประมาณ 1 เดือนที่ผ่านมา")</f>
        <v>ผู้รับไม่ได้รับเอกสารจดหมายธรรมดา ประมาณ 1 เดือนที่ผ่านมา</v>
      </c>
      <c r="I683" s="1" t="str">
        <f ca="1">IFERROR(__xludf.DUMMYFUNCTION("""COMPUTED_VALUE"""),"แจ้งดีบี 2 แล้ว")</f>
        <v>แจ้งดีบี 2 แล้ว</v>
      </c>
      <c r="J683" s="1" t="str">
        <f ca="1">IFERROR(__xludf.DUMMYFUNCTION("""COMPUTED_VALUE"""),"DB2")</f>
        <v>DB2</v>
      </c>
      <c r="K683" s="1" t="str">
        <f ca="1">IFERROR(__xludf.DUMMYFUNCTION("""COMPUTED_VALUE"""),"-")</f>
        <v>-</v>
      </c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 ht="15.75" customHeight="1" x14ac:dyDescent="0.2">
      <c r="A684" s="7">
        <f ca="1">IFERROR(__xludf.DUMMYFUNCTION("""COMPUTED_VALUE"""),243573.4359375)</f>
        <v>243573.43593750001</v>
      </c>
      <c r="B684" s="1" t="str">
        <f ca="1">IFERROR(__xludf.DUMMYFUNCTION("""COMPUTED_VALUE"""),"CEC")</f>
        <v>CEC</v>
      </c>
      <c r="C684" s="1" t="str">
        <f ca="1">IFERROR(__xludf.DUMMYFUNCTION("""COMPUTED_VALUE"""),"EB510769998TH")</f>
        <v>EB510769998TH</v>
      </c>
      <c r="D684" s="1" t="str">
        <f ca="1">IFERROR(__xludf.DUMMYFUNCTION("""COMPUTED_VALUE"""),"ศิริพจน์")</f>
        <v>ศิริพจน์</v>
      </c>
      <c r="E684" s="1" t="str">
        <f ca="1">IFERROR(__xludf.DUMMYFUNCTION("""COMPUTED_VALUE"""),"064-4944478")</f>
        <v>064-4944478</v>
      </c>
      <c r="F684" s="1" t="str">
        <f ca="1">IFERROR(__xludf.DUMMYFUNCTION("""COMPUTED_VALUE"""),"78 ผการัตน์แมนชั่น บางนาตราด 36")</f>
        <v>78 ผการัตน์แมนชั่น บางนาตราด 36</v>
      </c>
      <c r="G684" s="1" t="str">
        <f ca="1">IFERROR(__xludf.DUMMYFUNCTION("""COMPUTED_VALUE"""),"ตรวจสอบการนำจ่าย")</f>
        <v>ตรวจสอบการนำจ่าย</v>
      </c>
      <c r="H684" s="1" t="str">
        <f ca="1">IFERROR(__xludf.DUMMYFUNCTION("""COMPUTED_VALUE"""),"นำจ่าย 14/11/66")</f>
        <v>นำจ่าย 14/11/66</v>
      </c>
      <c r="I684" s="1"/>
      <c r="J684" s="1" t="str">
        <f ca="1">IFERROR(__xludf.DUMMYFUNCTION("""COMPUTED_VALUE"""),"DB1")</f>
        <v>DB1</v>
      </c>
      <c r="K684" s="1" t="str">
        <f ca="1">IFERROR(__xludf.DUMMYFUNCTION("""COMPUTED_VALUE"""),"EMS10260EVD1032")</f>
        <v>EMS10260EVD1032</v>
      </c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 ht="15.75" customHeight="1" x14ac:dyDescent="0.2">
      <c r="A685" s="7">
        <f ca="1">IFERROR(__xludf.DUMMYFUNCTION("""COMPUTED_VALUE"""),243573.446111111)</f>
        <v>243573.446111111</v>
      </c>
      <c r="B685" s="1" t="str">
        <f ca="1">IFERROR(__xludf.DUMMYFUNCTION("""COMPUTED_VALUE"""),"CEC")</f>
        <v>CEC</v>
      </c>
      <c r="C685" s="1" t="str">
        <f ca="1">IFERROR(__xludf.DUMMYFUNCTION("""COMPUTED_VALUE"""),"EB510421369TH")</f>
        <v>EB510421369TH</v>
      </c>
      <c r="D685" s="1" t="str">
        <f ca="1">IFERROR(__xludf.DUMMYFUNCTION("""COMPUTED_VALUE"""),"หนุ่ม")</f>
        <v>หนุ่ม</v>
      </c>
      <c r="E685" s="1" t="str">
        <f ca="1">IFERROR(__xludf.DUMMYFUNCTION("""COMPUTED_VALUE"""),"097-1081059")</f>
        <v>097-1081059</v>
      </c>
      <c r="F685" s="1" t="str">
        <f ca="1">IFERROR(__xludf.DUMMYFUNCTION("""COMPUTED_VALUE"""),"1112/44 สุขุมวิท 48")</f>
        <v>1112/44 สุขุมวิท 48</v>
      </c>
      <c r="G685" s="1" t="str">
        <f ca="1">IFERROR(__xludf.DUMMYFUNCTION("""COMPUTED_VALUE"""),"ตรวจสอบการนำจ่าย")</f>
        <v>ตรวจสอบการนำจ่าย</v>
      </c>
      <c r="H685" s="1" t="str">
        <f ca="1">IFERROR(__xludf.DUMMYFUNCTION("""COMPUTED_VALUE"""),"ส่งต่อ 10110")</f>
        <v>ส่งต่อ 10110</v>
      </c>
      <c r="I685" s="1"/>
      <c r="J685" s="1" t="str">
        <f ca="1">IFERROR(__xludf.DUMMYFUNCTION("""COMPUTED_VALUE"""),"นำจ่ายรถยนต์")</f>
        <v>นำจ่ายรถยนต์</v>
      </c>
      <c r="K685" s="1" t="str">
        <f ca="1">IFERROR(__xludf.DUMMYFUNCTION("""COMPUTED_VALUE"""),"CAR10260EVD5001")</f>
        <v>CAR10260EVD5001</v>
      </c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 ht="15.75" customHeight="1" x14ac:dyDescent="0.2">
      <c r="A686" s="7">
        <f ca="1">IFERROR(__xludf.DUMMYFUNCTION("""COMPUTED_VALUE"""),243573.463009259)</f>
        <v>243573.46300925899</v>
      </c>
      <c r="B686" s="1" t="str">
        <f ca="1">IFERROR(__xludf.DUMMYFUNCTION("""COMPUTED_VALUE"""),"On Queue")</f>
        <v>On Queue</v>
      </c>
      <c r="C686" s="1" t="str">
        <f ca="1">IFERROR(__xludf.DUMMYFUNCTION("""COMPUTED_VALUE"""),"EB234051090TH")</f>
        <v>EB234051090TH</v>
      </c>
      <c r="D686" s="1" t="str">
        <f ca="1">IFERROR(__xludf.DUMMYFUNCTION("""COMPUTED_VALUE"""),"นิศา")</f>
        <v>นิศา</v>
      </c>
      <c r="E686" s="1" t="str">
        <f ca="1">IFERROR(__xludf.DUMMYFUNCTION("""COMPUTED_VALUE"""),"097-0636506")</f>
        <v>097-0636506</v>
      </c>
      <c r="F686" s="1" t="str">
        <f ca="1">IFERROR(__xludf.DUMMYFUNCTION("""COMPUTED_VALUE"""),"1473 ม.พิชญา ลาซาล")</f>
        <v>1473 ม.พิชญา ลาซาล</v>
      </c>
      <c r="G686" s="1" t="str">
        <f ca="1">IFERROR(__xludf.DUMMYFUNCTION("""COMPUTED_VALUE"""),"นำจ่ายใหม่")</f>
        <v>นำจ่ายใหม่</v>
      </c>
      <c r="H686" s="1" t="str">
        <f ca="1">IFERROR(__xludf.DUMMYFUNCTION("""COMPUTED_VALUE"""),"กำชับนำจ่าย 15/11/66")</f>
        <v>กำชับนำจ่าย 15/11/66</v>
      </c>
      <c r="I686" s="1" t="str">
        <f ca="1">IFERROR(__xludf.DUMMYFUNCTION("""COMPUTED_VALUE"""),"นำจ่ายเรียบร้อย")</f>
        <v>นำจ่ายเรียบร้อย</v>
      </c>
      <c r="J686" s="1" t="str">
        <f ca="1">IFERROR(__xludf.DUMMYFUNCTION("""COMPUTED_VALUE"""),"DB1")</f>
        <v>DB1</v>
      </c>
      <c r="K686" s="1" t="str">
        <f ca="1">IFERROR(__xludf.DUMMYFUNCTION("""COMPUTED_VALUE"""),"EMS10260EVD1027")</f>
        <v>EMS10260EVD1027</v>
      </c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 ht="15.75" customHeight="1" x14ac:dyDescent="0.2">
      <c r="A687" s="7">
        <f ca="1">IFERROR(__xludf.DUMMYFUNCTION("""COMPUTED_VALUE"""),243573.51505787)</f>
        <v>243573.51505787001</v>
      </c>
      <c r="B687" s="1" t="str">
        <f ca="1">IFERROR(__xludf.DUMMYFUNCTION("""COMPUTED_VALUE"""),"CEC")</f>
        <v>CEC</v>
      </c>
      <c r="C687" s="1" t="str">
        <f ca="1">IFERROR(__xludf.DUMMYFUNCTION("""COMPUTED_VALUE"""),"RE956757612TH")</f>
        <v>RE956757612TH</v>
      </c>
      <c r="D687" s="1" t="str">
        <f ca="1">IFERROR(__xludf.DUMMYFUNCTION("""COMPUTED_VALUE"""),"กฤษตกร")</f>
        <v>กฤษตกร</v>
      </c>
      <c r="E687" s="1" t="str">
        <f ca="1">IFERROR(__xludf.DUMMYFUNCTION("""COMPUTED_VALUE"""),"081-6589446")</f>
        <v>081-6589446</v>
      </c>
      <c r="F687" s="1" t="str">
        <f ca="1">IFERROR(__xludf.DUMMYFUNCTION("""COMPUTED_VALUE"""),"114/4 เมลาโด อพาร์ทเม้นท์พึ่งมี 11")</f>
        <v>114/4 เมลาโด อพาร์ทเม้นท์พึ่งมี 11</v>
      </c>
      <c r="G687" s="1" t="str">
        <f ca="1">IFERROR(__xludf.DUMMYFUNCTION("""COMPUTED_VALUE"""),"นำจ่ายใหม่")</f>
        <v>นำจ่ายใหม่</v>
      </c>
      <c r="H687" s="1" t="str">
        <f ca="1">IFERROR(__xludf.DUMMYFUNCTION("""COMPUTED_VALUE"""),"บ้านปิด 3/11/66")</f>
        <v>บ้านปิด 3/11/66</v>
      </c>
      <c r="I687" s="1" t="str">
        <f ca="1">IFERROR(__xludf.DUMMYFUNCTION("""COMPUTED_VALUE"""),"นำจ่ายใหม่เรียบร้อย")</f>
        <v>นำจ่ายใหม่เรียบร้อย</v>
      </c>
      <c r="J687" s="1" t="str">
        <f ca="1">IFERROR(__xludf.DUMMYFUNCTION("""COMPUTED_VALUE"""),"DB3")</f>
        <v>DB3</v>
      </c>
      <c r="K687" s="1" t="str">
        <f ca="1">IFERROR(__xludf.DUMMYFUNCTION("""COMPUTED_VALUE"""),"EMS10260EVD3004")</f>
        <v>EMS10260EVD3004</v>
      </c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 ht="15.75" customHeight="1" x14ac:dyDescent="0.2">
      <c r="A688" s="7">
        <f ca="1">IFERROR(__xludf.DUMMYFUNCTION("""COMPUTED_VALUE"""),243573.519351851)</f>
        <v>243573.51935185099</v>
      </c>
      <c r="B688" s="1" t="str">
        <f ca="1">IFERROR(__xludf.DUMMYFUNCTION("""COMPUTED_VALUE"""),"CEC")</f>
        <v>CEC</v>
      </c>
      <c r="C688" s="1" t="str">
        <f ca="1">IFERROR(__xludf.DUMMYFUNCTION("""COMPUTED_VALUE"""),"ED969414307TH")</f>
        <v>ED969414307TH</v>
      </c>
      <c r="D688" s="1" t="str">
        <f ca="1">IFERROR(__xludf.DUMMYFUNCTION("""COMPUTED_VALUE"""),"ม้อม")</f>
        <v>ม้อม</v>
      </c>
      <c r="E688" s="1" t="str">
        <f ca="1">IFERROR(__xludf.DUMMYFUNCTION("""COMPUTED_VALUE"""),"094-7254660")</f>
        <v>094-7254660</v>
      </c>
      <c r="F688" s="1" t="str">
        <f ca="1">IFERROR(__xludf.DUMMYFUNCTION("""COMPUTED_VALUE"""),"1 แค้มป์คนงาน ริมทางรถไฟสายเก่า")</f>
        <v>1 แค้มป์คนงาน ริมทางรถไฟสายเก่า</v>
      </c>
      <c r="G688" s="1" t="str">
        <f ca="1">IFERROR(__xludf.DUMMYFUNCTION("""COMPUTED_VALUE"""),"นำจ่ายใหม่")</f>
        <v>นำจ่ายใหม่</v>
      </c>
      <c r="H688" s="1" t="str">
        <f ca="1">IFERROR(__xludf.DUMMYFUNCTION("""COMPUTED_VALUE"""),"COD 650 บ")</f>
        <v>COD 650 บ</v>
      </c>
      <c r="I688" s="1" t="str">
        <f ca="1">IFERROR(__xludf.DUMMYFUNCTION("""COMPUTED_VALUE"""),"นำจ่ายแล้ว")</f>
        <v>นำจ่ายแล้ว</v>
      </c>
      <c r="J688" s="1" t="str">
        <f ca="1">IFERROR(__xludf.DUMMYFUNCTION("""COMPUTED_VALUE"""),"DB4")</f>
        <v>DB4</v>
      </c>
      <c r="K688" s="1" t="str">
        <f ca="1">IFERROR(__xludf.DUMMYFUNCTION("""COMPUTED_VALUE"""),"EMS10260EVD4015")</f>
        <v>EMS10260EVD4015</v>
      </c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 ht="15.75" customHeight="1" x14ac:dyDescent="0.2">
      <c r="A689" s="7">
        <f ca="1">IFERROR(__xludf.DUMMYFUNCTION("""COMPUTED_VALUE"""),243573.521412037)</f>
        <v>243573.52141203699</v>
      </c>
      <c r="B689" s="1" t="str">
        <f ca="1">IFERROR(__xludf.DUMMYFUNCTION("""COMPUTED_VALUE"""),"CEC")</f>
        <v>CEC</v>
      </c>
      <c r="C689" s="1" t="str">
        <f ca="1">IFERROR(__xludf.DUMMYFUNCTION("""COMPUTED_VALUE"""),"ED945789367TH")</f>
        <v>ED945789367TH</v>
      </c>
      <c r="D689" s="1" t="str">
        <f ca="1">IFERROR(__xludf.DUMMYFUNCTION("""COMPUTED_VALUE"""),"วศิน")</f>
        <v>วศิน</v>
      </c>
      <c r="E689" s="1" t="str">
        <f ca="1">IFERROR(__xludf.DUMMYFUNCTION("""COMPUTED_VALUE"""),"089-2243808")</f>
        <v>089-2243808</v>
      </c>
      <c r="F689" s="1" t="str">
        <f ca="1">IFERROR(__xludf.DUMMYFUNCTION("""COMPUTED_VALUE"""),"379 อ.สมฤดี บ.ไทยรวมยนต์ บางนาตราด 15-17")</f>
        <v>379 อ.สมฤดี บ.ไทยรวมยนต์ บางนาตราด 15-17</v>
      </c>
      <c r="G689" s="1" t="str">
        <f ca="1">IFERROR(__xludf.DUMMYFUNCTION("""COMPUTED_VALUE"""),"ตรวจสอบการนำจ่าย")</f>
        <v>ตรวจสอบการนำจ่าย</v>
      </c>
      <c r="H689" s="1" t="str">
        <f ca="1">IFERROR(__xludf.DUMMYFUNCTION("""COMPUTED_VALUE"""),"นำจ่าย 14/11/66")</f>
        <v>นำจ่าย 14/11/66</v>
      </c>
      <c r="I689" s="1" t="str">
        <f ca="1">IFERROR(__xludf.DUMMYFUNCTION("""COMPUTED_VALUE"""),"นำจ่ายผิด ติดตามกลับมาแล้ว")</f>
        <v>นำจ่ายผิด ติดตามกลับมาแล้ว</v>
      </c>
      <c r="J689" s="1" t="str">
        <f ca="1">IFERROR(__xludf.DUMMYFUNCTION("""COMPUTED_VALUE"""),"นำจ่ายรถยนต์")</f>
        <v>นำจ่ายรถยนต์</v>
      </c>
      <c r="K689" s="1" t="str">
        <f ca="1">IFERROR(__xludf.DUMMYFUNCTION("""COMPUTED_VALUE"""),"CAR10260EVD5004")</f>
        <v>CAR10260EVD5004</v>
      </c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 ht="15.75" customHeight="1" x14ac:dyDescent="0.2">
      <c r="A690" s="7">
        <f ca="1">IFERROR(__xludf.DUMMYFUNCTION("""COMPUTED_VALUE"""),243573.542719907)</f>
        <v>243573.54271990701</v>
      </c>
      <c r="B690" s="1" t="str">
        <f ca="1">IFERROR(__xludf.DUMMYFUNCTION("""COMPUTED_VALUE"""),"CEC")</f>
        <v>CEC</v>
      </c>
      <c r="C690" s="1" t="str">
        <f ca="1">IFERROR(__xludf.DUMMYFUNCTION("""COMPUTED_VALUE"""),"RI805268285TH")</f>
        <v>RI805268285TH</v>
      </c>
      <c r="D690" s="1" t="str">
        <f ca="1">IFERROR(__xludf.DUMMYFUNCTION("""COMPUTED_VALUE"""),"ประภาพันธ์")</f>
        <v>ประภาพันธ์</v>
      </c>
      <c r="E690" s="1" t="str">
        <f ca="1">IFERROR(__xludf.DUMMYFUNCTION("""COMPUTED_VALUE"""),"080-0039786")</f>
        <v>080-0039786</v>
      </c>
      <c r="F690" s="1" t="str">
        <f ca="1">IFERROR(__xludf.DUMMYFUNCTION("""COMPUTED_VALUE"""),"818/192 คอนโดดิออริจิ้น ลาซาล")</f>
        <v>818/192 คอนโดดิออริจิ้น ลาซาล</v>
      </c>
      <c r="G690" s="1" t="str">
        <f ca="1">IFERROR(__xludf.DUMMYFUNCTION("""COMPUTED_VALUE"""),"ตรวจสอบการนำจ่าย")</f>
        <v>ตรวจสอบการนำจ่าย</v>
      </c>
      <c r="H690" s="1" t="str">
        <f ca="1">IFERROR(__xludf.DUMMYFUNCTION("""COMPUTED_VALUE"""),"ยังไม่มีการเตรียมการ")</f>
        <v>ยังไม่มีการเตรียมการ</v>
      </c>
      <c r="I690" s="1"/>
      <c r="J690" s="1" t="str">
        <f ca="1">IFERROR(__xludf.DUMMYFUNCTION("""COMPUTED_VALUE"""),"นำจ่ายรถยนต์")</f>
        <v>นำจ่ายรถยนต์</v>
      </c>
      <c r="K690" s="1" t="str">
        <f ca="1">IFERROR(__xludf.DUMMYFUNCTION("""COMPUTED_VALUE"""),"ZNE10260EVD1003")</f>
        <v>ZNE10260EVD1003</v>
      </c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 ht="15.75" customHeight="1" x14ac:dyDescent="0.2">
      <c r="A691" s="7">
        <f ca="1">IFERROR(__xludf.DUMMYFUNCTION("""COMPUTED_VALUE"""),243573.561006944)</f>
        <v>243573.56100694399</v>
      </c>
      <c r="B691" s="1" t="str">
        <f ca="1">IFERROR(__xludf.DUMMYFUNCTION("""COMPUTED_VALUE"""),"CEC")</f>
        <v>CEC</v>
      </c>
      <c r="C691" s="1" t="str">
        <f ca="1">IFERROR(__xludf.DUMMYFUNCTION("""COMPUTED_VALUE"""),"EJ976829579TH")</f>
        <v>EJ976829579TH</v>
      </c>
      <c r="D691" s="1" t="str">
        <f ca="1">IFERROR(__xludf.DUMMYFUNCTION("""COMPUTED_VALUE"""),"พงศ์พันธ์")</f>
        <v>พงศ์พันธ์</v>
      </c>
      <c r="E691" s="1" t="str">
        <f ca="1">IFERROR(__xludf.DUMMYFUNCTION("""COMPUTED_VALUE"""),"098-9414961")</f>
        <v>098-9414961</v>
      </c>
      <c r="F691" s="1" t="str">
        <f ca="1">IFERROR(__xludf.DUMMYFUNCTION("""COMPUTED_VALUE"""),"1460/23 เดอะนิชโมโน")</f>
        <v>1460/23 เดอะนิชโมโน</v>
      </c>
      <c r="G691" s="1" t="str">
        <f ca="1">IFERROR(__xludf.DUMMYFUNCTION("""COMPUTED_VALUE"""),"ตรวจสอบการนำจ่าย")</f>
        <v>ตรวจสอบการนำจ่าย</v>
      </c>
      <c r="H691" s="1" t="str">
        <f ca="1">IFERROR(__xludf.DUMMYFUNCTION("""COMPUTED_VALUE"""),"นำจ่ายผิดตึก")</f>
        <v>นำจ่ายผิดตึก</v>
      </c>
      <c r="I691" s="1" t="str">
        <f ca="1">IFERROR(__xludf.DUMMYFUNCTION("""COMPUTED_VALUE"""),"ติดตามกลับมานำจ่ายใหม่")</f>
        <v>ติดตามกลับมานำจ่ายใหม่</v>
      </c>
      <c r="J691" s="1" t="str">
        <f ca="1">IFERROR(__xludf.DUMMYFUNCTION("""COMPUTED_VALUE"""),"นำจ่ายรถยนต์")</f>
        <v>นำจ่ายรถยนต์</v>
      </c>
      <c r="K691" s="1" t="str">
        <f ca="1">IFERROR(__xludf.DUMMYFUNCTION("""COMPUTED_VALUE"""),"CAR10260EVD5008")</f>
        <v>CAR10260EVD5008</v>
      </c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 ht="15.75" customHeight="1" x14ac:dyDescent="0.2">
      <c r="A692" s="7">
        <f ca="1">IFERROR(__xludf.DUMMYFUNCTION("""COMPUTED_VALUE"""),243573.571724537)</f>
        <v>243573.571724537</v>
      </c>
      <c r="B692" s="1" t="str">
        <f ca="1">IFERROR(__xludf.DUMMYFUNCTION("""COMPUTED_VALUE"""),"CEC")</f>
        <v>CEC</v>
      </c>
      <c r="C692" s="1" t="str">
        <f ca="1">IFERROR(__xludf.DUMMYFUNCTION("""COMPUTED_VALUE"""),"LH210079836US")</f>
        <v>LH210079836US</v>
      </c>
      <c r="D692" s="1" t="str">
        <f ca="1">IFERROR(__xludf.DUMMYFUNCTION("""COMPUTED_VALUE"""),"TERRY")</f>
        <v>TERRY</v>
      </c>
      <c r="E692" s="1" t="str">
        <f ca="1">IFERROR(__xludf.DUMMYFUNCTION("""COMPUTED_VALUE"""),"063-9245500")</f>
        <v>063-9245500</v>
      </c>
      <c r="F692" s="1" t="str">
        <f ca="1">IFERROR(__xludf.DUMMYFUNCTION("""COMPUTED_VALUE"""),"341/46 ม.รุ่งเจริญ")</f>
        <v>341/46 ม.รุ่งเจริญ</v>
      </c>
      <c r="G692" s="1" t="str">
        <f ca="1">IFERROR(__xludf.DUMMYFUNCTION("""COMPUTED_VALUE"""),"นำจ่ายใหม่")</f>
        <v>นำจ่ายใหม่</v>
      </c>
      <c r="H692" s="1" t="str">
        <f ca="1">IFERROR(__xludf.DUMMYFUNCTION("""COMPUTED_VALUE"""),"ออกใบแจ้ง 14/11/66")</f>
        <v>ออกใบแจ้ง 14/11/66</v>
      </c>
      <c r="I692" s="1" t="str">
        <f ca="1">IFERROR(__xludf.DUMMYFUNCTION("""COMPUTED_VALUE"""),"นำจ่ายใหม่แล้ว")</f>
        <v>นำจ่ายใหม่แล้ว</v>
      </c>
      <c r="J692" s="1" t="str">
        <f ca="1">IFERROR(__xludf.DUMMYFUNCTION("""COMPUTED_VALUE"""),"DB3")</f>
        <v>DB3</v>
      </c>
      <c r="K692" s="1" t="str">
        <f ca="1">IFERROR(__xludf.DUMMYFUNCTION("""COMPUTED_VALUE"""),"EMS10260EVD3023")</f>
        <v>EMS10260EVD3023</v>
      </c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 ht="15.75" customHeight="1" x14ac:dyDescent="0.2">
      <c r="A693" s="7">
        <f ca="1">IFERROR(__xludf.DUMMYFUNCTION("""COMPUTED_VALUE"""),243573.587395833)</f>
        <v>243573.58739583299</v>
      </c>
      <c r="B693" s="1" t="str">
        <f ca="1">IFERROR(__xludf.DUMMYFUNCTION("""COMPUTED_VALUE"""),"CEC")</f>
        <v>CEC</v>
      </c>
      <c r="C693" s="1" t="str">
        <f ca="1">IFERROR(__xludf.DUMMYFUNCTION("""COMPUTED_VALUE"""),"EY951992066TH")</f>
        <v>EY951992066TH</v>
      </c>
      <c r="D693" s="1" t="str">
        <f ca="1">IFERROR(__xludf.DUMMYFUNCTION("""COMPUTED_VALUE"""),"สมฤดี")</f>
        <v>สมฤดี</v>
      </c>
      <c r="E693" s="1" t="str">
        <f ca="1">IFERROR(__xludf.DUMMYFUNCTION("""COMPUTED_VALUE"""),"081-9611207")</f>
        <v>081-9611207</v>
      </c>
      <c r="F693" s="1" t="str">
        <f ca="1">IFERROR(__xludf.DUMMYFUNCTION("""COMPUTED_VALUE"""),"114 บิ๊กซีอ่อนนุช")</f>
        <v>114 บิ๊กซีอ่อนนุช</v>
      </c>
      <c r="G693" s="1" t="str">
        <f ca="1">IFERROR(__xludf.DUMMYFUNCTION("""COMPUTED_VALUE"""),"ร้องเรียนบริการ")</f>
        <v>ร้องเรียนบริการ</v>
      </c>
      <c r="H693" s="1" t="str">
        <f ca="1">IFERROR(__xludf.DUMMYFUNCTION("""COMPUTED_VALUE"""),"ลูกค้าแจ้งว่าเจ้าหน้าที่ไปจ่ายไว้ที่บาร์น้ำแล้วไม่โทรแจ้ง")</f>
        <v>ลูกค้าแจ้งว่าเจ้าหน้าที่ไปจ่ายไว้ที่บาร์น้ำแล้วไม่โทรแจ้ง</v>
      </c>
      <c r="I693" s="1"/>
      <c r="J693" s="1" t="str">
        <f ca="1">IFERROR(__xludf.DUMMYFUNCTION("""COMPUTED_VALUE"""),"DB4")</f>
        <v>DB4</v>
      </c>
      <c r="K693" s="1" t="str">
        <f ca="1">IFERROR(__xludf.DUMMYFUNCTION("""COMPUTED_VALUE"""),"EMS10260EVD4023")</f>
        <v>EMS10260EVD4023</v>
      </c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 ht="15.75" customHeight="1" x14ac:dyDescent="0.2">
      <c r="A694" s="7">
        <f ca="1">IFERROR(__xludf.DUMMYFUNCTION("""COMPUTED_VALUE"""),243573.590509259)</f>
        <v>243573.590509259</v>
      </c>
      <c r="B694" s="1" t="str">
        <f ca="1">IFERROR(__xludf.DUMMYFUNCTION("""COMPUTED_VALUE"""),"CEC")</f>
        <v>CEC</v>
      </c>
      <c r="C694" s="1" t="str">
        <f ca="1">IFERROR(__xludf.DUMMYFUNCTION("""COMPUTED_VALUE"""),"EB981933821TH")</f>
        <v>EB981933821TH</v>
      </c>
      <c r="D694" s="1" t="str">
        <f ca="1">IFERROR(__xludf.DUMMYFUNCTION("""COMPUTED_VALUE"""),"รุ่งศิริ")</f>
        <v>รุ่งศิริ</v>
      </c>
      <c r="E694" s="1" t="str">
        <f ca="1">IFERROR(__xludf.DUMMYFUNCTION("""COMPUTED_VALUE"""),"090-9855431")</f>
        <v>090-9855431</v>
      </c>
      <c r="F694" s="1" t="str">
        <f ca="1">IFERROR(__xludf.DUMMYFUNCTION("""COMPUTED_VALUE"""),"2079/10 เดอะเพรสซิเด้นท์")</f>
        <v>2079/10 เดอะเพรสซิเด้นท์</v>
      </c>
      <c r="G694" s="1" t="str">
        <f ca="1">IFERROR(__xludf.DUMMYFUNCTION("""COMPUTED_VALUE"""),"ตรวจสอบการนำจ่าย")</f>
        <v>ตรวจสอบการนำจ่าย</v>
      </c>
      <c r="H694" s="1" t="str">
        <f ca="1">IFERROR(__xludf.DUMMYFUNCTION("""COMPUTED_VALUE"""),"กำชับการนำจ่าย 15/11/66")</f>
        <v>กำชับการนำจ่าย 15/11/66</v>
      </c>
      <c r="I694" s="1" t="str">
        <f ca="1">IFERROR(__xludf.DUMMYFUNCTION("""COMPUTED_VALUE"""),"นำจ่ายเรียบร้อย")</f>
        <v>นำจ่ายเรียบร้อย</v>
      </c>
      <c r="J694" s="1" t="str">
        <f ca="1">IFERROR(__xludf.DUMMYFUNCTION("""COMPUTED_VALUE"""),"นำจ่ายรถยนต์")</f>
        <v>นำจ่ายรถยนต์</v>
      </c>
      <c r="K694" s="1" t="str">
        <f ca="1">IFERROR(__xludf.DUMMYFUNCTION("""COMPUTED_VALUE"""),"CAR10260EVD5014")</f>
        <v>CAR10260EVD5014</v>
      </c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 ht="15.75" customHeight="1" x14ac:dyDescent="0.2">
      <c r="A695" s="7">
        <f ca="1">IFERROR(__xludf.DUMMYFUNCTION("""COMPUTED_VALUE"""),243573.592800925)</f>
        <v>243573.59280092499</v>
      </c>
      <c r="B695" s="1" t="str">
        <f ca="1">IFERROR(__xludf.DUMMYFUNCTION("""COMPUTED_VALUE"""),"CEC")</f>
        <v>CEC</v>
      </c>
      <c r="C695" s="1" t="str">
        <f ca="1">IFERROR(__xludf.DUMMYFUNCTION("""COMPUTED_VALUE"""),"OA093764533TH")</f>
        <v>OA093764533TH</v>
      </c>
      <c r="D695" s="1" t="str">
        <f ca="1">IFERROR(__xludf.DUMMYFUNCTION("""COMPUTED_VALUE"""),"นภัสร")</f>
        <v>นภัสร</v>
      </c>
      <c r="E695" s="1" t="str">
        <f ca="1">IFERROR(__xludf.DUMMYFUNCTION("""COMPUTED_VALUE"""),"095-5622656")</f>
        <v>095-5622656</v>
      </c>
      <c r="F695" s="1" t="str">
        <f ca="1">IFERROR(__xludf.DUMMYFUNCTION("""COMPUTED_VALUE"""),"4379/856 ไอดิโอโมบิ")</f>
        <v>4379/856 ไอดิโอโมบิ</v>
      </c>
      <c r="G695" s="1" t="str">
        <f ca="1">IFERROR(__xludf.DUMMYFUNCTION("""COMPUTED_VALUE"""),"ตรวจสอบการนำจ่าย")</f>
        <v>ตรวจสอบการนำจ่าย</v>
      </c>
      <c r="H695" s="1" t="str">
        <f ca="1">IFERROR(__xludf.DUMMYFUNCTION("""COMPUTED_VALUE"""),"ไม่มีการเตรียมการนำจ่าย")</f>
        <v>ไม่มีการเตรียมการนำจ่าย</v>
      </c>
      <c r="I695" s="1"/>
      <c r="J695" s="1" t="str">
        <f ca="1">IFERROR(__xludf.DUMMYFUNCTION("""COMPUTED_VALUE"""),"นำจ่ายรถยนต์")</f>
        <v>นำจ่ายรถยนต์</v>
      </c>
      <c r="K695" s="1" t="str">
        <f ca="1">IFERROR(__xludf.DUMMYFUNCTION("""COMPUTED_VALUE"""),"CAR10260EVD5005")</f>
        <v>CAR10260EVD5005</v>
      </c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 ht="15.75" customHeight="1" x14ac:dyDescent="0.2">
      <c r="A696" s="7">
        <f ca="1">IFERROR(__xludf.DUMMYFUNCTION("""COMPUTED_VALUE"""),243573.594884259)</f>
        <v>243573.59488425899</v>
      </c>
      <c r="B696" s="1" t="str">
        <f ca="1">IFERROR(__xludf.DUMMYFUNCTION("""COMPUTED_VALUE"""),"On Queue")</f>
        <v>On Queue</v>
      </c>
      <c r="C696" s="1" t="str">
        <f ca="1">IFERROR(__xludf.DUMMYFUNCTION("""COMPUTED_VALUE"""),"EB997794858TH")</f>
        <v>EB997794858TH</v>
      </c>
      <c r="D696" s="1" t="str">
        <f ca="1">IFERROR(__xludf.DUMMYFUNCTION("""COMPUTED_VALUE"""),"พัชรีกาญจน์")</f>
        <v>พัชรีกาญจน์</v>
      </c>
      <c r="E696" s="1" t="str">
        <f ca="1">IFERROR(__xludf.DUMMYFUNCTION("""COMPUTED_VALUE"""),"098-5619966")</f>
        <v>098-5619966</v>
      </c>
      <c r="F696" s="1" t="str">
        <f ca="1">IFERROR(__xludf.DUMMYFUNCTION("""COMPUTED_VALUE"""),"4371/571 ไอดิโอโมบิอิสเกต")</f>
        <v>4371/571 ไอดิโอโมบิอิสเกต</v>
      </c>
      <c r="G696" s="1" t="str">
        <f ca="1">IFERROR(__xludf.DUMMYFUNCTION("""COMPUTED_VALUE"""),"นำจ่ายใหม่")</f>
        <v>นำจ่ายใหม่</v>
      </c>
      <c r="H696" s="1" t="str">
        <f ca="1">IFERROR(__xludf.DUMMYFUNCTION("""COMPUTED_VALUE"""),"จ่าหน้าไม่ชัดเจน")</f>
        <v>จ่าหน้าไม่ชัดเจน</v>
      </c>
      <c r="I696" s="1" t="str">
        <f ca="1">IFERROR(__xludf.DUMMYFUNCTION("""COMPUTED_VALUE"""),"นำจ่ายใหม่ 16/11/66")</f>
        <v>นำจ่ายใหม่ 16/11/66</v>
      </c>
      <c r="J696" s="1" t="str">
        <f ca="1">IFERROR(__xludf.DUMMYFUNCTION("""COMPUTED_VALUE"""),"นำจ่ายรถยนต์")</f>
        <v>นำจ่ายรถยนต์</v>
      </c>
      <c r="K696" s="1" t="str">
        <f ca="1">IFERROR(__xludf.DUMMYFUNCTION("""COMPUTED_VALUE"""),"CAR10260EVD5005")</f>
        <v>CAR10260EVD5005</v>
      </c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 ht="15.75" customHeight="1" x14ac:dyDescent="0.2">
      <c r="A697" s="7">
        <f ca="1">IFERROR(__xludf.DUMMYFUNCTION("""COMPUTED_VALUE"""),243573.599953703)</f>
        <v>243573.599953703</v>
      </c>
      <c r="B697" s="1" t="str">
        <f ca="1">IFERROR(__xludf.DUMMYFUNCTION("""COMPUTED_VALUE"""),"CEC")</f>
        <v>CEC</v>
      </c>
      <c r="C697" s="1" t="str">
        <f ca="1">IFERROR(__xludf.DUMMYFUNCTION("""COMPUTED_VALUE"""),"EM309256925TH")</f>
        <v>EM309256925TH</v>
      </c>
      <c r="D697" s="1" t="str">
        <f ca="1">IFERROR(__xludf.DUMMYFUNCTION("""COMPUTED_VALUE"""),"ศป.หาดใหญ่ 091-8080656")</f>
        <v>ศป.หาดใหญ่ 091-8080656</v>
      </c>
      <c r="E697" s="1" t="str">
        <f ca="1">IFERROR(__xludf.DUMMYFUNCTION("""COMPUTED_VALUE"""),"-")</f>
        <v>-</v>
      </c>
      <c r="F697" s="1" t="str">
        <f ca="1">IFERROR(__xludf.DUMMYFUNCTION("""COMPUTED_VALUE"""),"บ.ยันมาร์ 1858/113-115-116")</f>
        <v>บ.ยันมาร์ 1858/113-115-116</v>
      </c>
      <c r="G697" s="1" t="str">
        <f ca="1">IFERROR(__xludf.DUMMYFUNCTION("""COMPUTED_VALUE"""),"ตรวจสอบการนำจ่าย")</f>
        <v>ตรวจสอบการนำจ่าย</v>
      </c>
      <c r="H697" s="1" t="str">
        <f ca="1">IFERROR(__xludf.DUMMYFUNCTION("""COMPUTED_VALUE"""),"ไม่มีสถานะการนำจ่าย")</f>
        <v>ไม่มีสถานะการนำจ่าย</v>
      </c>
      <c r="I697" s="1"/>
      <c r="J697" s="1" t="str">
        <f ca="1">IFERROR(__xludf.DUMMYFUNCTION("""COMPUTED_VALUE"""),"นำจ่ายรถยนต์")</f>
        <v>นำจ่ายรถยนต์</v>
      </c>
      <c r="K697" s="1" t="str">
        <f ca="1">IFERROR(__xludf.DUMMYFUNCTION("""COMPUTED_VALUE"""),"CAR10260EVD5008")</f>
        <v>CAR10260EVD5008</v>
      </c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 ht="15.75" customHeight="1" x14ac:dyDescent="0.2">
      <c r="A698" s="7">
        <f ca="1">IFERROR(__xludf.DUMMYFUNCTION("""COMPUTED_VALUE"""),243573.607164351)</f>
        <v>243573.60716435101</v>
      </c>
      <c r="B698" s="1" t="str">
        <f ca="1">IFERROR(__xludf.DUMMYFUNCTION("""COMPUTED_VALUE"""),"CEC")</f>
        <v>CEC</v>
      </c>
      <c r="C698" s="1" t="str">
        <f ca="1">IFERROR(__xludf.DUMMYFUNCTION("""COMPUTED_VALUE"""),"EB996832705TH")</f>
        <v>EB996832705TH</v>
      </c>
      <c r="D698" s="1" t="str">
        <f ca="1">IFERROR(__xludf.DUMMYFUNCTION("""COMPUTED_VALUE"""),"เทอดศักดิ์")</f>
        <v>เทอดศักดิ์</v>
      </c>
      <c r="E698" s="1" t="str">
        <f ca="1">IFERROR(__xludf.DUMMYFUNCTION("""COMPUTED_VALUE"""),"081-9014461")</f>
        <v>081-9014461</v>
      </c>
      <c r="F698" s="1" t="str">
        <f ca="1">IFERROR(__xludf.DUMMYFUNCTION("""COMPUTED_VALUE"""),"270 สมาคมตั้งตระกูล สรรพาวุธ")</f>
        <v>270 สมาคมตั้งตระกูล สรรพาวุธ</v>
      </c>
      <c r="G698" s="1" t="str">
        <f ca="1">IFERROR(__xludf.DUMMYFUNCTION("""COMPUTED_VALUE"""),"ตรวจสอบการนำจ่าย")</f>
        <v>ตรวจสอบการนำจ่าย</v>
      </c>
      <c r="H698" s="1" t="str">
        <f ca="1">IFERROR(__xludf.DUMMYFUNCTION("""COMPUTED_VALUE"""),"นำจ่าย 11/11/66")</f>
        <v>นำจ่าย 11/11/66</v>
      </c>
      <c r="I698" s="1" t="str">
        <f ca="1">IFERROR(__xludf.DUMMYFUNCTION("""COMPUTED_VALUE"""),"นำจ่ายผิดบ้านติดตามกลับนำจ่ายใหม่แล้ว")</f>
        <v>นำจ่ายผิดบ้านติดตามกลับนำจ่ายใหม่แล้ว</v>
      </c>
      <c r="J698" s="1" t="str">
        <f ca="1">IFERROR(__xludf.DUMMYFUNCTION("""COMPUTED_VALUE"""),"DB2")</f>
        <v>DB2</v>
      </c>
      <c r="K698" s="1" t="str">
        <f ca="1">IFERROR(__xludf.DUMMYFUNCTION("""COMPUTED_VALUE"""),"EMS10260EVD2001")</f>
        <v>EMS10260EVD2001</v>
      </c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 ht="15.75" customHeight="1" x14ac:dyDescent="0.2">
      <c r="A699" s="7">
        <f ca="1">IFERROR(__xludf.DUMMYFUNCTION("""COMPUTED_VALUE"""),243573.609085648)</f>
        <v>243573.609085648</v>
      </c>
      <c r="B699" s="1" t="str">
        <f ca="1">IFERROR(__xludf.DUMMYFUNCTION("""COMPUTED_VALUE"""),"CEC")</f>
        <v>CEC</v>
      </c>
      <c r="C699" s="1" t="str">
        <f ca="1">IFERROR(__xludf.DUMMYFUNCTION("""COMPUTED_VALUE"""),"RI896890585TH")</f>
        <v>RI896890585TH</v>
      </c>
      <c r="D699" s="1" t="str">
        <f ca="1">IFERROR(__xludf.DUMMYFUNCTION("""COMPUTED_VALUE"""),"Slinna")</f>
        <v>Slinna</v>
      </c>
      <c r="E699" s="1" t="str">
        <f ca="1">IFERROR(__xludf.DUMMYFUNCTION("""COMPUTED_VALUE"""),"081-8203311")</f>
        <v>081-8203311</v>
      </c>
      <c r="F699" s="1" t="str">
        <f ca="1">IFERROR(__xludf.DUMMYFUNCTION("""COMPUTED_VALUE"""),"77 พึ่งมี 29")</f>
        <v>77 พึ่งมี 29</v>
      </c>
      <c r="G699" s="1" t="str">
        <f ca="1">IFERROR(__xludf.DUMMYFUNCTION("""COMPUTED_VALUE"""),"นำจ่ายใหม่")</f>
        <v>นำจ่ายใหม่</v>
      </c>
      <c r="H699" s="1" t="str">
        <f ca="1">IFERROR(__xludf.DUMMYFUNCTION("""COMPUTED_VALUE"""),"ออกใบแจ้ง 14/11/66")</f>
        <v>ออกใบแจ้ง 14/11/66</v>
      </c>
      <c r="I699" s="1" t="str">
        <f ca="1">IFERROR(__xludf.DUMMYFUNCTION("""COMPUTED_VALUE"""),"นำจ่ายใหม่เรียบร้อยแล้ว")</f>
        <v>นำจ่ายใหม่เรียบร้อยแล้ว</v>
      </c>
      <c r="J699" s="1" t="str">
        <f ca="1">IFERROR(__xludf.DUMMYFUNCTION("""COMPUTED_VALUE"""),"DB3")</f>
        <v>DB3</v>
      </c>
      <c r="K699" s="1" t="str">
        <f ca="1">IFERROR(__xludf.DUMMYFUNCTION("""COMPUTED_VALUE"""),"EMS10260EVD3005")</f>
        <v>EMS10260EVD3005</v>
      </c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 ht="15.75" customHeight="1" x14ac:dyDescent="0.2">
      <c r="A700" s="7">
        <f ca="1">IFERROR(__xludf.DUMMYFUNCTION("""COMPUTED_VALUE"""),243573.614027777)</f>
        <v>243573.61402777699</v>
      </c>
      <c r="B700" s="1" t="str">
        <f ca="1">IFERROR(__xludf.DUMMYFUNCTION("""COMPUTED_VALUE"""),"CEC")</f>
        <v>CEC</v>
      </c>
      <c r="C700" s="1" t="str">
        <f ca="1">IFERROR(__xludf.DUMMYFUNCTION("""COMPUTED_VALUE"""),"RL855908707TH")</f>
        <v>RL855908707TH</v>
      </c>
      <c r="D700" s="1" t="str">
        <f ca="1">IFERROR(__xludf.DUMMYFUNCTION("""COMPUTED_VALUE"""),"every skin")</f>
        <v>every skin</v>
      </c>
      <c r="E700" s="1" t="str">
        <f ca="1">IFERROR(__xludf.DUMMYFUNCTION("""COMPUTED_VALUE"""),"081-9699036")</f>
        <v>081-9699036</v>
      </c>
      <c r="F700" s="1" t="str">
        <f ca="1">IFERROR(__xludf.DUMMYFUNCTION("""COMPUTED_VALUE"""),"549/2 ลาซาลอเวนิว")</f>
        <v>549/2 ลาซาลอเวนิว</v>
      </c>
      <c r="G700" s="1" t="str">
        <f ca="1">IFERROR(__xludf.DUMMYFUNCTION("""COMPUTED_VALUE"""),"ตรวจสอบการนำจ่าย")</f>
        <v>ตรวจสอบการนำจ่าย</v>
      </c>
      <c r="H700" s="1" t="str">
        <f ca="1">IFERROR(__xludf.DUMMYFUNCTION("""COMPUTED_VALUE"""),"น่าจะนำจ่ายผิดที่")</f>
        <v>น่าจะนำจ่ายผิดที่</v>
      </c>
      <c r="I700" s="1"/>
      <c r="J700" s="1" t="str">
        <f ca="1">IFERROR(__xludf.DUMMYFUNCTION("""COMPUTED_VALUE"""),"นำจ่ายรถยนต์")</f>
        <v>นำจ่ายรถยนต์</v>
      </c>
      <c r="K700" s="1" t="str">
        <f ca="1">IFERROR(__xludf.DUMMYFUNCTION("""COMPUTED_VALUE"""),"CAR10260EVD5005")</f>
        <v>CAR10260EVD5005</v>
      </c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 ht="15.75" customHeight="1" x14ac:dyDescent="0.2">
      <c r="A701" s="7">
        <f ca="1">IFERROR(__xludf.DUMMYFUNCTION("""COMPUTED_VALUE"""),243573.617291666)</f>
        <v>243573.61729166601</v>
      </c>
      <c r="B701" s="1" t="str">
        <f ca="1">IFERROR(__xludf.DUMMYFUNCTION("""COMPUTED_VALUE"""),"CEC")</f>
        <v>CEC</v>
      </c>
      <c r="C701" s="1" t="str">
        <f ca="1">IFERROR(__xludf.DUMMYFUNCTION("""COMPUTED_VALUE"""),"RL832044075TH")</f>
        <v>RL832044075TH</v>
      </c>
      <c r="D701" s="1" t="str">
        <f ca="1">IFERROR(__xludf.DUMMYFUNCTION("""COMPUTED_VALUE"""),"สันทนี")</f>
        <v>สันทนี</v>
      </c>
      <c r="E701" s="1" t="str">
        <f ca="1">IFERROR(__xludf.DUMMYFUNCTION("""COMPUTED_VALUE"""),"081-6333959")</f>
        <v>081-6333959</v>
      </c>
      <c r="F701" s="1" t="str">
        <f ca="1">IFERROR(__xludf.DUMMYFUNCTION("""COMPUTED_VALUE"""),"20 วชิรธรรมสาธิต 9")</f>
        <v>20 วชิรธรรมสาธิต 9</v>
      </c>
      <c r="G701" s="1" t="str">
        <f ca="1">IFERROR(__xludf.DUMMYFUNCTION("""COMPUTED_VALUE"""),"ตรวจสอบการนำจ่าย")</f>
        <v>ตรวจสอบการนำจ่าย</v>
      </c>
      <c r="H701" s="1" t="str">
        <f ca="1">IFERROR(__xludf.DUMMYFUNCTION("""COMPUTED_VALUE"""),"นำจ่าย 4/10/66")</f>
        <v>นำจ่าย 4/10/66</v>
      </c>
      <c r="I701" s="1" t="str">
        <f ca="1">IFERROR(__xludf.DUMMYFUNCTION("""COMPUTED_VALUE"""),"จ่าหน้าไม่ตรงกับที่ตรวจสอบ นำจ่ายใหม่ให้แล้ว")</f>
        <v>จ่าหน้าไม่ตรงกับที่ตรวจสอบ นำจ่ายใหม่ให้แล้ว</v>
      </c>
      <c r="J701" s="1" t="str">
        <f ca="1">IFERROR(__xludf.DUMMYFUNCTION("""COMPUTED_VALUE"""),"นำจ่ายรถยนต์")</f>
        <v>นำจ่ายรถยนต์</v>
      </c>
      <c r="K701" s="1" t="str">
        <f ca="1">IFERROR(__xludf.DUMMYFUNCTION("""COMPUTED_VALUE"""),"GEN07262EVD0225")</f>
        <v>GEN07262EVD0225</v>
      </c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 ht="15.75" customHeight="1" x14ac:dyDescent="0.2">
      <c r="A702" s="7">
        <f ca="1">IFERROR(__xludf.DUMMYFUNCTION("""COMPUTED_VALUE"""),243573.618935185)</f>
        <v>243573.61893518499</v>
      </c>
      <c r="B702" s="1" t="str">
        <f ca="1">IFERROR(__xludf.DUMMYFUNCTION("""COMPUTED_VALUE"""),"CEC")</f>
        <v>CEC</v>
      </c>
      <c r="C702" s="1" t="str">
        <f ca="1">IFERROR(__xludf.DUMMYFUNCTION("""COMPUTED_VALUE"""),"ED624041448TH")</f>
        <v>ED624041448TH</v>
      </c>
      <c r="D702" s="1" t="str">
        <f ca="1">IFERROR(__xludf.DUMMYFUNCTION("""COMPUTED_VALUE"""),"ศิวาพร")</f>
        <v>ศิวาพร</v>
      </c>
      <c r="E702" s="1" t="str">
        <f ca="1">IFERROR(__xludf.DUMMYFUNCTION("""COMPUTED_VALUE"""),"098-7080205")</f>
        <v>098-7080205</v>
      </c>
      <c r="F702" s="1" t="str">
        <f ca="1">IFERROR(__xludf.DUMMYFUNCTION("""COMPUTED_VALUE"""),"989 อ.AIA บางนาตราด")</f>
        <v>989 อ.AIA บางนาตราด</v>
      </c>
      <c r="G702" s="1" t="str">
        <f ca="1">IFERROR(__xludf.DUMMYFUNCTION("""COMPUTED_VALUE"""),"ตรวจสอบการนำจ่าย")</f>
        <v>ตรวจสอบการนำจ่าย</v>
      </c>
      <c r="H702" s="1" t="str">
        <f ca="1">IFERROR(__xludf.DUMMYFUNCTION("""COMPUTED_VALUE"""),"กำชับนำจ่าย")</f>
        <v>กำชับนำจ่าย</v>
      </c>
      <c r="I702" s="1" t="str">
        <f ca="1">IFERROR(__xludf.DUMMYFUNCTION("""COMPUTED_VALUE"""),"นำจ่ายเรียบร้อย")</f>
        <v>นำจ่ายเรียบร้อย</v>
      </c>
      <c r="J702" s="1" t="str">
        <f ca="1">IFERROR(__xludf.DUMMYFUNCTION("""COMPUTED_VALUE"""),"นำจ่ายรถยนต์")</f>
        <v>นำจ่ายรถยนต์</v>
      </c>
      <c r="K702" s="1" t="str">
        <f ca="1">IFERROR(__xludf.DUMMYFUNCTION("""COMPUTED_VALUE"""),"CAR10260EVD5007")</f>
        <v>CAR10260EVD5007</v>
      </c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 ht="15.75" customHeight="1" x14ac:dyDescent="0.2">
      <c r="A703" s="7">
        <f ca="1">IFERROR(__xludf.DUMMYFUNCTION("""COMPUTED_VALUE"""),243573.620810185)</f>
        <v>243573.62081018501</v>
      </c>
      <c r="B703" s="1" t="str">
        <f ca="1">IFERROR(__xludf.DUMMYFUNCTION("""COMPUTED_VALUE"""),"On Queue")</f>
        <v>On Queue</v>
      </c>
      <c r="C703" s="1" t="str">
        <f ca="1">IFERROR(__xludf.DUMMYFUNCTION("""COMPUTED_VALUE"""),"EM061420491TH")</f>
        <v>EM061420491TH</v>
      </c>
      <c r="D703" s="1" t="str">
        <f ca="1">IFERROR(__xludf.DUMMYFUNCTION("""COMPUTED_VALUE"""),"ลภัสรดา")</f>
        <v>ลภัสรดา</v>
      </c>
      <c r="E703" s="1" t="str">
        <f ca="1">IFERROR(__xludf.DUMMYFUNCTION("""COMPUTED_VALUE"""),"086-6183656")</f>
        <v>086-6183656</v>
      </c>
      <c r="F703" s="1" t="str">
        <f ca="1">IFERROR(__xludf.DUMMYFUNCTION("""COMPUTED_VALUE"""),"2001/217 วชิรธรรม 69 แยก 4")</f>
        <v>2001/217 วชิรธรรม 69 แยก 4</v>
      </c>
      <c r="G703" s="1" t="str">
        <f ca="1">IFERROR(__xludf.DUMMYFUNCTION("""COMPUTED_VALUE"""),"ตรวจสอบการนำจ่าย")</f>
        <v>ตรวจสอบการนำจ่าย</v>
      </c>
      <c r="H703" s="1" t="str">
        <f ca="1">IFERROR(__xludf.DUMMYFUNCTION("""COMPUTED_VALUE"""),"กำชับนำจ่าย")</f>
        <v>กำชับนำจ่าย</v>
      </c>
      <c r="I703" s="1" t="str">
        <f ca="1">IFERROR(__xludf.DUMMYFUNCTION("""COMPUTED_VALUE"""),"นำจ่ายเรียบร้อย")</f>
        <v>นำจ่ายเรียบร้อย</v>
      </c>
      <c r="J703" s="1" t="str">
        <f ca="1">IFERROR(__xludf.DUMMYFUNCTION("""COMPUTED_VALUE"""),"DB3")</f>
        <v>DB3</v>
      </c>
      <c r="K703" s="1" t="str">
        <f ca="1">IFERROR(__xludf.DUMMYFUNCTION("""COMPUTED_VALUE"""),"EMS10260EVD3031")</f>
        <v>EMS10260EVD3031</v>
      </c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 ht="15.75" customHeight="1" x14ac:dyDescent="0.2">
      <c r="A704" s="7">
        <f ca="1">IFERROR(__xludf.DUMMYFUNCTION("""COMPUTED_VALUE"""),243573.623333333)</f>
        <v>243573.623333333</v>
      </c>
      <c r="B704" s="1" t="str">
        <f ca="1">IFERROR(__xludf.DUMMYFUNCTION("""COMPUTED_VALUE"""),"On Queue")</f>
        <v>On Queue</v>
      </c>
      <c r="C704" s="1" t="str">
        <f ca="1">IFERROR(__xludf.DUMMYFUNCTION("""COMPUTED_VALUE"""),"EM295982219TH")</f>
        <v>EM295982219TH</v>
      </c>
      <c r="D704" s="1" t="str">
        <f ca="1">IFERROR(__xludf.DUMMYFUNCTION("""COMPUTED_VALUE"""),"พรณัชชา")</f>
        <v>พรณัชชา</v>
      </c>
      <c r="E704" s="1" t="str">
        <f ca="1">IFERROR(__xludf.DUMMYFUNCTION("""COMPUTED_VALUE"""),"090-9292665")</f>
        <v>090-9292665</v>
      </c>
      <c r="F704" s="1" t="str">
        <f ca="1">IFERROR(__xludf.DUMMYFUNCTION("""COMPUTED_VALUE"""),"เดอโมว่าคลินิก อินเด็กลิฟวิ่งมอลล์ชั้นใต้ดิน")</f>
        <v>เดอโมว่าคลินิก อินเด็กลิฟวิ่งมอลล์ชั้นใต้ดิน</v>
      </c>
      <c r="G704" s="1" t="str">
        <f ca="1">IFERROR(__xludf.DUMMYFUNCTION("""COMPUTED_VALUE"""),"ร้องเรียนบริการ")</f>
        <v>ร้องเรียนบริการ</v>
      </c>
      <c r="H704" s="1" t="str">
        <f ca="1">IFERROR(__xludf.DUMMYFUNCTION("""COMPUTED_VALUE"""),"ลูกค้าร้องเรียนว่าเจ้าหน้าที่นำจ่ายไม่ตรงจุดทั้งที่เจ้าหน้าที่อาคารทักท้วงทำให้เจ้าหน้าที่อาคารต่อว่าและตอนนำจ่ายก็ไม่โทรแจ้ง")</f>
        <v>ลูกค้าร้องเรียนว่าเจ้าหน้าที่นำจ่ายไม่ตรงจุดทั้งที่เจ้าหน้าที่อาคารทักท้วงทำให้เจ้าหน้าที่อาคารต่อว่าและตอนนำจ่ายก็ไม่โทรแจ้ง</v>
      </c>
      <c r="I704" s="1" t="str">
        <f ca="1">IFERROR(__xludf.DUMMYFUNCTION("""COMPUTED_VALUE"""),"แจ้งประสานหัวหน้าแผนกนำจ่ายทราบแล้ว ลูกค้าต้องการให้แจ้งผลกลับ")</f>
        <v>แจ้งประสานหัวหน้าแผนกนำจ่ายทราบแล้ว ลูกค้าต้องการให้แจ้งผลกลับ</v>
      </c>
      <c r="J704" s="1" t="str">
        <f ca="1">IFERROR(__xludf.DUMMYFUNCTION("""COMPUTED_VALUE"""),"DB2")</f>
        <v>DB2</v>
      </c>
      <c r="K704" s="1" t="str">
        <f ca="1">IFERROR(__xludf.DUMMYFUNCTION("""COMPUTED_VALUE"""),"EMS10260EVD2010")</f>
        <v>EMS10260EVD2010</v>
      </c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 ht="15.75" customHeight="1" x14ac:dyDescent="0.2">
      <c r="A705" s="7">
        <f ca="1">IFERROR(__xludf.DUMMYFUNCTION("""COMPUTED_VALUE"""),243574.310648148)</f>
        <v>243574.31064814801</v>
      </c>
      <c r="B705" s="1" t="str">
        <f ca="1">IFERROR(__xludf.DUMMYFUNCTION("""COMPUTED_VALUE"""),"CEC")</f>
        <v>CEC</v>
      </c>
      <c r="C705" s="1" t="str">
        <f ca="1">IFERROR(__xludf.DUMMYFUNCTION("""COMPUTED_VALUE"""),"EY952360689TH")</f>
        <v>EY952360689TH</v>
      </c>
      <c r="D705" s="1" t="str">
        <f ca="1">IFERROR(__xludf.DUMMYFUNCTION("""COMPUTED_VALUE"""),"อุดมพร")</f>
        <v>อุดมพร</v>
      </c>
      <c r="E705" s="1" t="str">
        <f ca="1">IFERROR(__xludf.DUMMYFUNCTION("""COMPUTED_VALUE"""),"081-8695676")</f>
        <v>081-8695676</v>
      </c>
      <c r="F705" s="1" t="str">
        <f ca="1">IFERROR(__xludf.DUMMYFUNCTION("""COMPUTED_VALUE"""),"280 รร.อรรถวิทย์")</f>
        <v>280 รร.อรรถวิทย์</v>
      </c>
      <c r="G705" s="1" t="str">
        <f ca="1">IFERROR(__xludf.DUMMYFUNCTION("""COMPUTED_VALUE"""),"ตรวจสอบการนำจ่าย")</f>
        <v>ตรวจสอบการนำจ่าย</v>
      </c>
      <c r="H705" s="1" t="str">
        <f ca="1">IFERROR(__xludf.DUMMYFUNCTION("""COMPUTED_VALUE"""),"นำจา่ย 14/11/66 ไม่ได้รับ")</f>
        <v>นำจา่ย 14/11/66 ไม่ได้รับ</v>
      </c>
      <c r="I705" s="1" t="str">
        <f ca="1">IFERROR(__xludf.DUMMYFUNCTION("""COMPUTED_VALUE"""),"นำจ่ายผิด ติดตามนำจ่ายใหม่เรียบร้อยแล้ว")</f>
        <v>นำจ่ายผิด ติดตามนำจ่ายใหม่เรียบร้อยแล้ว</v>
      </c>
      <c r="J705" s="1" t="str">
        <f ca="1">IFERROR(__xludf.DUMMYFUNCTION("""COMPUTED_VALUE"""),"DB2")</f>
        <v>DB2</v>
      </c>
      <c r="K705" s="1" t="str">
        <f ca="1">IFERROR(__xludf.DUMMYFUNCTION("""COMPUTED_VALUE"""),"EMS10260EVD2002")</f>
        <v>EMS10260EVD2002</v>
      </c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 ht="15.75" customHeight="1" x14ac:dyDescent="0.2">
      <c r="A706" s="7">
        <f ca="1">IFERROR(__xludf.DUMMYFUNCTION("""COMPUTED_VALUE"""),243574.320879629)</f>
        <v>243574.320879629</v>
      </c>
      <c r="B706" s="1" t="str">
        <f ca="1">IFERROR(__xludf.DUMMYFUNCTION("""COMPUTED_VALUE"""),"CEC")</f>
        <v>CEC</v>
      </c>
      <c r="C706" s="1" t="str">
        <f ca="1">IFERROR(__xludf.DUMMYFUNCTION("""COMPUTED_VALUE"""),"EO327975327TH")</f>
        <v>EO327975327TH</v>
      </c>
      <c r="D706" s="1" t="str">
        <f ca="1">IFERROR(__xludf.DUMMYFUNCTION("""COMPUTED_VALUE"""),"ชญานิศ")</f>
        <v>ชญานิศ</v>
      </c>
      <c r="E706" s="1" t="str">
        <f ca="1">IFERROR(__xludf.DUMMYFUNCTION("""COMPUTED_VALUE"""),"092-4946232")</f>
        <v>092-4946232</v>
      </c>
      <c r="F706" s="1" t="str">
        <f ca="1">IFERROR(__xludf.DUMMYFUNCTION("""COMPUTED_VALUE"""),"29/27 เดโค คอนโด ตึก B สุขุมวิท 70/3")</f>
        <v>29/27 เดโค คอนโด ตึก B สุขุมวิท 70/3</v>
      </c>
      <c r="G706" s="1" t="str">
        <f ca="1">IFERROR(__xludf.DUMMYFUNCTION("""COMPUTED_VALUE"""),"ตรวจสอบการนำจ่าย")</f>
        <v>ตรวจสอบการนำจ่าย</v>
      </c>
      <c r="H706" s="1" t="str">
        <f ca="1">IFERROR(__xludf.DUMMYFUNCTION("""COMPUTED_VALUE"""),"นำจ่าย 15/11/66 ไม่ได้รับ")</f>
        <v>นำจ่าย 15/11/66 ไม่ได้รับ</v>
      </c>
      <c r="I706" s="1" t="str">
        <f ca="1">IFERROR(__xludf.DUMMYFUNCTION("""COMPUTED_VALUE"""),"นำจ่ายผิด ติดตามกลับมาจ่ายใหม่เรียบร้อยแล้ว")</f>
        <v>นำจ่ายผิด ติดตามกลับมาจ่ายใหม่เรียบร้อยแล้ว</v>
      </c>
      <c r="J706" s="1" t="str">
        <f ca="1">IFERROR(__xludf.DUMMYFUNCTION("""COMPUTED_VALUE"""),"DB1")</f>
        <v>DB1</v>
      </c>
      <c r="K706" s="1" t="str">
        <f ca="1">IFERROR(__xludf.DUMMYFUNCTION("""COMPUTED_VALUE"""),"EMS10260EVD1008")</f>
        <v>EMS10260EVD1008</v>
      </c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 ht="15.75" customHeight="1" x14ac:dyDescent="0.2">
      <c r="A707" s="7">
        <f ca="1">IFERROR(__xludf.DUMMYFUNCTION("""COMPUTED_VALUE"""),243574.338703703)</f>
        <v>243574.33870370299</v>
      </c>
      <c r="B707" s="1" t="str">
        <f ca="1">IFERROR(__xludf.DUMMYFUNCTION("""COMPUTED_VALUE"""),"CEC")</f>
        <v>CEC</v>
      </c>
      <c r="C707" s="1" t="str">
        <f ca="1">IFERROR(__xludf.DUMMYFUNCTION("""COMPUTED_VALUE"""),"ED913160005TH")</f>
        <v>ED913160005TH</v>
      </c>
      <c r="D707" s="1" t="str">
        <f ca="1">IFERROR(__xludf.DUMMYFUNCTION("""COMPUTED_VALUE"""),"ผู้ส่ง 0804539666")</f>
        <v>ผู้ส่ง 0804539666</v>
      </c>
      <c r="E707" s="1" t="str">
        <f ca="1">IFERROR(__xludf.DUMMYFUNCTION("""COMPUTED_VALUE"""),"0917736069")</f>
        <v>0917736069</v>
      </c>
      <c r="F707" s="1" t="str">
        <f ca="1">IFERROR(__xludf.DUMMYFUNCTION("""COMPUTED_VALUE"""),"727 บ.คริสเตียนี่")</f>
        <v>727 บ.คริสเตียนี่</v>
      </c>
      <c r="G707" s="1" t="str">
        <f ca="1">IFERROR(__xludf.DUMMYFUNCTION("""COMPUTED_VALUE"""),"ตรวจสอบการนำจ่าย")</f>
        <v>ตรวจสอบการนำจ่าย</v>
      </c>
      <c r="H707" s="1" t="str">
        <f ca="1">IFERROR(__xludf.DUMMYFUNCTION("""COMPUTED_VALUE"""),"บ้านปิด 8/10/66")</f>
        <v>บ้านปิด 8/10/66</v>
      </c>
      <c r="I707" s="1" t="str">
        <f ca="1">IFERROR(__xludf.DUMMYFUNCTION("""COMPUTED_VALUE"""),"แจ้งเจ้าหน้าที่ที่รับผิดชอบตรวจสอบแล้ว")</f>
        <v>แจ้งเจ้าหน้าที่ที่รับผิดชอบตรวจสอบแล้ว</v>
      </c>
      <c r="J707" s="1" t="str">
        <f ca="1">IFERROR(__xludf.DUMMYFUNCTION("""COMPUTED_VALUE"""),"DB1")</f>
        <v>DB1</v>
      </c>
      <c r="K707" s="1" t="str">
        <f ca="1">IFERROR(__xludf.DUMMYFUNCTION("""COMPUTED_VALUE"""),"EMS10260EVD0146")</f>
        <v>EMS10260EVD0146</v>
      </c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 ht="15.75" customHeight="1" x14ac:dyDescent="0.2">
      <c r="A708" s="7">
        <f ca="1">IFERROR(__xludf.DUMMYFUNCTION("""COMPUTED_VALUE"""),243574.343078703)</f>
        <v>243574.34307870301</v>
      </c>
      <c r="B708" s="1" t="str">
        <f ca="1">IFERROR(__xludf.DUMMYFUNCTION("""COMPUTED_VALUE"""),"CEC")</f>
        <v>CEC</v>
      </c>
      <c r="C708" s="1" t="str">
        <f ca="1">IFERROR(__xludf.DUMMYFUNCTION("""COMPUTED_VALUE"""),"EA843429156TH")</f>
        <v>EA843429156TH</v>
      </c>
      <c r="D708" s="1" t="str">
        <f ca="1">IFERROR(__xludf.DUMMYFUNCTION("""COMPUTED_VALUE"""),"กมลทิพย์")</f>
        <v>กมลทิพย์</v>
      </c>
      <c r="E708" s="1" t="str">
        <f ca="1">IFERROR(__xludf.DUMMYFUNCTION("""COMPUTED_VALUE"""),"084-0936773")</f>
        <v>084-0936773</v>
      </c>
      <c r="F708" s="1" t="str">
        <f ca="1">IFERROR(__xludf.DUMMYFUNCTION("""COMPUTED_VALUE"""),"248/1 ถ.เลียบทางด่วน")</f>
        <v>248/1 ถ.เลียบทางด่วน</v>
      </c>
      <c r="G708" s="1" t="str">
        <f ca="1">IFERROR(__xludf.DUMMYFUNCTION("""COMPUTED_VALUE"""),"นำจ่ายใหม่")</f>
        <v>นำจ่ายใหม่</v>
      </c>
      <c r="H708" s="1" t="str">
        <f ca="1">IFERROR(__xludf.DUMMYFUNCTION("""COMPUTED_VALUE"""),"COD297 บ")</f>
        <v>COD297 บ</v>
      </c>
      <c r="I708" s="1" t="str">
        <f ca="1">IFERROR(__xludf.DUMMYFUNCTION("""COMPUTED_VALUE"""),"นำจ่ายใหม่แล้ว")</f>
        <v>นำจ่ายใหม่แล้ว</v>
      </c>
      <c r="J708" s="1" t="str">
        <f ca="1">IFERROR(__xludf.DUMMYFUNCTION("""COMPUTED_VALUE"""),"DB2")</f>
        <v>DB2</v>
      </c>
      <c r="K708" s="1" t="str">
        <f ca="1">IFERROR(__xludf.DUMMYFUNCTION("""COMPUTED_VALUE"""),"EMS10260EVD2002")</f>
        <v>EMS10260EVD2002</v>
      </c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 ht="15.75" customHeight="1" x14ac:dyDescent="0.2">
      <c r="A709" s="7">
        <f ca="1">IFERROR(__xludf.DUMMYFUNCTION("""COMPUTED_VALUE"""),243574.344131944)</f>
        <v>243574.344131944</v>
      </c>
      <c r="B709" s="1" t="str">
        <f ca="1">IFERROR(__xludf.DUMMYFUNCTION("""COMPUTED_VALUE"""),"CEC")</f>
        <v>CEC</v>
      </c>
      <c r="C709" s="1" t="str">
        <f ca="1">IFERROR(__xludf.DUMMYFUNCTION("""COMPUTED_VALUE"""),"ED916567028TH")</f>
        <v>ED916567028TH</v>
      </c>
      <c r="D709" s="1" t="str">
        <f ca="1">IFERROR(__xludf.DUMMYFUNCTION("""COMPUTED_VALUE"""),"ชลิตา")</f>
        <v>ชลิตา</v>
      </c>
      <c r="E709" s="1" t="str">
        <f ca="1">IFERROR(__xludf.DUMMYFUNCTION("""COMPUTED_VALUE"""),"080-9427310")</f>
        <v>080-9427310</v>
      </c>
      <c r="F709" s="1" t="str">
        <f ca="1">IFERROR(__xludf.DUMMYFUNCTION("""COMPUTED_VALUE"""),"59/144 อาคารพาณิช ซ.สุขุมวิท 97/1")</f>
        <v>59/144 อาคารพาณิช ซ.สุขุมวิท 97/1</v>
      </c>
      <c r="G709" s="1" t="str">
        <f ca="1">IFERROR(__xludf.DUMMYFUNCTION("""COMPUTED_VALUE"""),"ตรวจสอบการนำจ่าย")</f>
        <v>ตรวจสอบการนำจ่าย</v>
      </c>
      <c r="H709" s="1" t="str">
        <f ca="1">IFERROR(__xludf.DUMMYFUNCTION("""COMPUTED_VALUE"""),"นำจ่าย 15/11/66 ไม่ได่รับ")</f>
        <v>นำจ่าย 15/11/66 ไม่ได่รับ</v>
      </c>
      <c r="I709" s="1" t="str">
        <f ca="1">IFERROR(__xludf.DUMMYFUNCTION("""COMPUTED_VALUE"""),"ฝากข้างบ้านแจ้งผู้รับเรียบร้อยแล้ว")</f>
        <v>ฝากข้างบ้านแจ้งผู้รับเรียบร้อยแล้ว</v>
      </c>
      <c r="J709" s="1" t="str">
        <f ca="1">IFERROR(__xludf.DUMMYFUNCTION("""COMPUTED_VALUE"""),"DB3")</f>
        <v>DB3</v>
      </c>
      <c r="K709" s="1" t="str">
        <f ca="1">IFERROR(__xludf.DUMMYFUNCTION("""COMPUTED_VALUE"""),"EMS10260EVD3011")</f>
        <v>EMS10260EVD3011</v>
      </c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 ht="15.75" customHeight="1" x14ac:dyDescent="0.2">
      <c r="A710" s="7">
        <f ca="1">IFERROR(__xludf.DUMMYFUNCTION("""COMPUTED_VALUE"""),243574.34599537)</f>
        <v>243574.34599537001</v>
      </c>
      <c r="B710" s="1" t="str">
        <f ca="1">IFERROR(__xludf.DUMMYFUNCTION("""COMPUTED_VALUE"""),"CEC")</f>
        <v>CEC</v>
      </c>
      <c r="C710" s="1" t="str">
        <f ca="1">IFERROR(__xludf.DUMMYFUNCTION("""COMPUTED_VALUE"""),"ED755456920TH")</f>
        <v>ED755456920TH</v>
      </c>
      <c r="D710" s="1" t="str">
        <f ca="1">IFERROR(__xludf.DUMMYFUNCTION("""COMPUTED_VALUE"""),"อุลัยพร")</f>
        <v>อุลัยพร</v>
      </c>
      <c r="E710" s="1" t="str">
        <f ca="1">IFERROR(__xludf.DUMMYFUNCTION("""COMPUTED_VALUE"""),"094-5191659")</f>
        <v>094-5191659</v>
      </c>
      <c r="F710" s="1" t="str">
        <f ca="1">IFERROR(__xludf.DUMMYFUNCTION("""COMPUTED_VALUE"""),"1462/155 เดอะนิชโมโน บางนาตราด")</f>
        <v>1462/155 เดอะนิชโมโน บางนาตราด</v>
      </c>
      <c r="G710" s="1" t="str">
        <f ca="1">IFERROR(__xludf.DUMMYFUNCTION("""COMPUTED_VALUE"""),"นำจ่ายใหม่")</f>
        <v>นำจ่ายใหม่</v>
      </c>
      <c r="H710" s="1" t="str">
        <f ca="1">IFERROR(__xludf.DUMMYFUNCTION("""COMPUTED_VALUE"""),"COD 350 บ")</f>
        <v>COD 350 บ</v>
      </c>
      <c r="I710" s="1" t="str">
        <f ca="1">IFERROR(__xludf.DUMMYFUNCTION("""COMPUTED_VALUE"""),"นำจ่ายใหม่เรียบร้อย")</f>
        <v>นำจ่ายใหม่เรียบร้อย</v>
      </c>
      <c r="J710" s="1" t="str">
        <f ca="1">IFERROR(__xludf.DUMMYFUNCTION("""COMPUTED_VALUE"""),"DB1")</f>
        <v>DB1</v>
      </c>
      <c r="K710" s="1" t="str">
        <f ca="1">IFERROR(__xludf.DUMMYFUNCTION("""COMPUTED_VALUE"""),"EMS10260EVD1031")</f>
        <v>EMS10260EVD1031</v>
      </c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 ht="15.75" customHeight="1" x14ac:dyDescent="0.2">
      <c r="A711" s="7">
        <f ca="1">IFERROR(__xludf.DUMMYFUNCTION("""COMPUTED_VALUE"""),243574.347824074)</f>
        <v>243574.34782407401</v>
      </c>
      <c r="B711" s="1" t="str">
        <f ca="1">IFERROR(__xludf.DUMMYFUNCTION("""COMPUTED_VALUE"""),"CEC")</f>
        <v>CEC</v>
      </c>
      <c r="C711" s="1" t="str">
        <f ca="1">IFERROR(__xludf.DUMMYFUNCTION("""COMPUTED_VALUE"""),"LP358696645SG")</f>
        <v>LP358696645SG</v>
      </c>
      <c r="D711" s="1" t="str">
        <f ca="1">IFERROR(__xludf.DUMMYFUNCTION("""COMPUTED_VALUE"""),"พัชรีวรรณ")</f>
        <v>พัชรีวรรณ</v>
      </c>
      <c r="E711" s="1" t="str">
        <f ca="1">IFERROR(__xludf.DUMMYFUNCTION("""COMPUTED_VALUE"""),"086-8552906")</f>
        <v>086-8552906</v>
      </c>
      <c r="F711" s="1" t="str">
        <f ca="1">IFERROR(__xludf.DUMMYFUNCTION("""COMPUTED_VALUE"""),"710/209 เดอะล๊อค วชิรธรรม")</f>
        <v>710/209 เดอะล๊อค วชิรธรรม</v>
      </c>
      <c r="G711" s="1" t="str">
        <f ca="1">IFERROR(__xludf.DUMMYFUNCTION("""COMPUTED_VALUE"""),"ตรวจสอบการนำจ่าย")</f>
        <v>ตรวจสอบการนำจ่าย</v>
      </c>
      <c r="H711" s="1" t="str">
        <f ca="1">IFERROR(__xludf.DUMMYFUNCTION("""COMPUTED_VALUE"""),"สินค้าเสียภาษี")</f>
        <v>สินค้าเสียภาษี</v>
      </c>
      <c r="I711" s="1" t="str">
        <f ca="1">IFERROR(__xludf.DUMMYFUNCTION("""COMPUTED_VALUE"""),"แจ้งประสานลูกค้า จะชำระออนไลน์")</f>
        <v>แจ้งประสานลูกค้า จะชำระออนไลน์</v>
      </c>
      <c r="J711" s="1" t="str">
        <f ca="1">IFERROR(__xludf.DUMMYFUNCTION("""COMPUTED_VALUE"""),"บป")</f>
        <v>บป</v>
      </c>
      <c r="K711" s="1" t="str">
        <f ca="1">IFERROR(__xludf.DUMMYFUNCTION("""COMPUTED_VALUE"""),"PRT10260EVD0101")</f>
        <v>PRT10260EVD0101</v>
      </c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 ht="15.75" customHeight="1" x14ac:dyDescent="0.2">
      <c r="A712" s="7">
        <f ca="1">IFERROR(__xludf.DUMMYFUNCTION("""COMPUTED_VALUE"""),243574.350405092)</f>
        <v>243574.350405092</v>
      </c>
      <c r="B712" s="1" t="str">
        <f ca="1">IFERROR(__xludf.DUMMYFUNCTION("""COMPUTED_VALUE"""),"CEC")</f>
        <v>CEC</v>
      </c>
      <c r="C712" s="1" t="str">
        <f ca="1">IFERROR(__xludf.DUMMYFUNCTION("""COMPUTED_VALUE"""),"ED971762209TH")</f>
        <v>ED971762209TH</v>
      </c>
      <c r="D712" s="1" t="str">
        <f ca="1">IFERROR(__xludf.DUMMYFUNCTION("""COMPUTED_VALUE"""),"นิสา")</f>
        <v>นิสา</v>
      </c>
      <c r="E712" s="1" t="str">
        <f ca="1">IFERROR(__xludf.DUMMYFUNCTION("""COMPUTED_VALUE"""),"0837929634")</f>
        <v>0837929634</v>
      </c>
      <c r="F712" s="1" t="str">
        <f ca="1">IFERROR(__xludf.DUMMYFUNCTION("""COMPUTED_VALUE"""),"11 บางนาตราด 22")</f>
        <v>11 บางนาตราด 22</v>
      </c>
      <c r="G712" s="1" t="str">
        <f ca="1">IFERROR(__xludf.DUMMYFUNCTION("""COMPUTED_VALUE"""),"นำจ่ายใหม่")</f>
        <v>นำจ่ายใหม่</v>
      </c>
      <c r="H712" s="1" t="str">
        <f ca="1">IFERROR(__xludf.DUMMYFUNCTION("""COMPUTED_VALUE"""),"ออกใบแจ้ง 15/11/66")</f>
        <v>ออกใบแจ้ง 15/11/66</v>
      </c>
      <c r="I712" s="1"/>
      <c r="J712" s="1" t="str">
        <f ca="1">IFERROR(__xludf.DUMMYFUNCTION("""COMPUTED_VALUE"""),"DB1")</f>
        <v>DB1</v>
      </c>
      <c r="K712" s="1" t="str">
        <f ca="1">IFERROR(__xludf.DUMMYFUNCTION("""COMPUTED_VALUE"""),"EMS10260EVD1033")</f>
        <v>EMS10260EVD1033</v>
      </c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 ht="15.75" customHeight="1" x14ac:dyDescent="0.2">
      <c r="A713" s="7">
        <f ca="1">IFERROR(__xludf.DUMMYFUNCTION("""COMPUTED_VALUE"""),243574.495960648)</f>
        <v>243574.495960648</v>
      </c>
      <c r="B713" s="1" t="str">
        <f ca="1">IFERROR(__xludf.DUMMYFUNCTION("""COMPUTED_VALUE"""),"CEC")</f>
        <v>CEC</v>
      </c>
      <c r="C713" s="1" t="str">
        <f ca="1">IFERROR(__xludf.DUMMYFUNCTION("""COMPUTED_VALUE"""),"EH940731232TH")</f>
        <v>EH940731232TH</v>
      </c>
      <c r="D713" s="1" t="str">
        <f ca="1">IFERROR(__xludf.DUMMYFUNCTION("""COMPUTED_VALUE"""),"อิสรีย์")</f>
        <v>อิสรีย์</v>
      </c>
      <c r="E713" s="1" t="str">
        <f ca="1">IFERROR(__xludf.DUMMYFUNCTION("""COMPUTED_VALUE"""),"0951823857 ผู้ฝาก")</f>
        <v>0951823857 ผู้ฝาก</v>
      </c>
      <c r="F713" s="1" t="str">
        <f ca="1">IFERROR(__xludf.DUMMYFUNCTION("""COMPUTED_VALUE"""),"เพชรดารินทร์ กลาโหม -")</f>
        <v>เพชรดารินทร์ กลาโหม -</v>
      </c>
      <c r="G713" s="1" t="str">
        <f ca="1">IFERROR(__xludf.DUMMYFUNCTION("""COMPUTED_VALUE"""),"ตรวจสอบการนำจ่าย")</f>
        <v>ตรวจสอบการนำจ่าย</v>
      </c>
      <c r="H713" s="1" t="str">
        <f ca="1">IFERROR(__xludf.DUMMYFUNCTION("""COMPUTED_VALUE"""),"เงินไม่เข้า Wallet ลูกค้า ตรวจสอบการโอน กับ CS เขต")</f>
        <v>เงินไม่เข้า Wallet ลูกค้า ตรวจสอบการโอน กับ CS เขต</v>
      </c>
      <c r="I713" s="1" t="str">
        <f ca="1">IFERROR(__xludf.DUMMYFUNCTION("""COMPUTED_VALUE"""),"CS เขตแนะนำให้บันทึกข้อมูลการนำจ่ายอีกครั้ง")</f>
        <v>CS เขตแนะนำให้บันทึกข้อมูลการนำจ่ายอีกครั้ง</v>
      </c>
      <c r="J713" s="1" t="str">
        <f ca="1">IFERROR(__xludf.DUMMYFUNCTION("""COMPUTED_VALUE"""),"นำจ่ายรถยนต์")</f>
        <v>นำจ่ายรถยนต์</v>
      </c>
      <c r="K713" s="1" t="str">
        <f ca="1">IFERROR(__xludf.DUMMYFUNCTION("""COMPUTED_VALUE"""),"CAR10260EVD5004")</f>
        <v>CAR10260EVD5004</v>
      </c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 ht="15.75" customHeight="1" x14ac:dyDescent="0.2">
      <c r="A714" s="7">
        <f ca="1">IFERROR(__xludf.DUMMYFUNCTION("""COMPUTED_VALUE"""),243574.535856481)</f>
        <v>243574.535856481</v>
      </c>
      <c r="B714" s="1" t="str">
        <f ca="1">IFERROR(__xludf.DUMMYFUNCTION("""COMPUTED_VALUE"""),"CEC")</f>
        <v>CEC</v>
      </c>
      <c r="C714" s="1" t="str">
        <f ca="1">IFERROR(__xludf.DUMMYFUNCTION("""COMPUTED_VALUE"""),"EB778851866TH")</f>
        <v>EB778851866TH</v>
      </c>
      <c r="D714" s="1" t="str">
        <f ca="1">IFERROR(__xludf.DUMMYFUNCTION("""COMPUTED_VALUE"""),"ทานุกร")</f>
        <v>ทานุกร</v>
      </c>
      <c r="E714" s="1" t="str">
        <f ca="1">IFERROR(__xludf.DUMMYFUNCTION("""COMPUTED_VALUE"""),"063-5297745")</f>
        <v>063-5297745</v>
      </c>
      <c r="F714" s="1" t="str">
        <f ca="1">IFERROR(__xludf.DUMMYFUNCTION("""COMPUTED_VALUE"""),"299/199 รีเจ้นท์ออคิด สุขุมวิท 101")</f>
        <v>299/199 รีเจ้นท์ออคิด สุขุมวิท 101</v>
      </c>
      <c r="G714" s="1" t="str">
        <f ca="1">IFERROR(__xludf.DUMMYFUNCTION("""COMPUTED_VALUE"""),"ตรวจสอบการนำจ่าย")</f>
        <v>ตรวจสอบการนำจ่าย</v>
      </c>
      <c r="H714" s="1" t="str">
        <f ca="1">IFERROR(__xludf.DUMMYFUNCTION("""COMPUTED_VALUE"""),"นำจ่าย 15/11/66")</f>
        <v>นำจ่าย 15/11/66</v>
      </c>
      <c r="I714" s="1" t="str">
        <f ca="1">IFERROR(__xludf.DUMMYFUNCTION("""COMPUTED_VALUE"""),"นำจ่ายผิด ติดตามกลับนำจ่ายใหม่")</f>
        <v>นำจ่ายผิด ติดตามกลับนำจ่ายใหม่</v>
      </c>
      <c r="J714" s="1" t="str">
        <f ca="1">IFERROR(__xludf.DUMMYFUNCTION("""COMPUTED_VALUE"""),"นำจ่ายรถยนต์")</f>
        <v>นำจ่ายรถยนต์</v>
      </c>
      <c r="K714" s="1" t="str">
        <f ca="1">IFERROR(__xludf.DUMMYFUNCTION("""COMPUTED_VALUE"""),"CAR10260EVD5014")</f>
        <v>CAR10260EVD5014</v>
      </c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 ht="15.75" customHeight="1" x14ac:dyDescent="0.2">
      <c r="A715" s="7">
        <f ca="1">IFERROR(__xludf.DUMMYFUNCTION("""COMPUTED_VALUE"""),243574.58574074)</f>
        <v>243574.58574074</v>
      </c>
      <c r="B715" s="1" t="str">
        <f ca="1">IFERROR(__xludf.DUMMYFUNCTION("""COMPUTED_VALUE"""),"CEC")</f>
        <v>CEC</v>
      </c>
      <c r="C715" s="1" t="str">
        <f ca="1">IFERROR(__xludf.DUMMYFUNCTION("""COMPUTED_VALUE"""),"EY951323676TH")</f>
        <v>EY951323676TH</v>
      </c>
      <c r="D715" s="1" t="str">
        <f ca="1">IFERROR(__xludf.DUMMYFUNCTION("""COMPUTED_VALUE"""),"อารีรัตน์")</f>
        <v>อารีรัตน์</v>
      </c>
      <c r="E715" s="1" t="str">
        <f ca="1">IFERROR(__xludf.DUMMYFUNCTION("""COMPUTED_VALUE"""),"081-9391943")</f>
        <v>081-9391943</v>
      </c>
      <c r="F715" s="1" t="str">
        <f ca="1">IFERROR(__xludf.DUMMYFUNCTION("""COMPUTED_VALUE"""),"13 ประวิทย์ฯ 15")</f>
        <v>13 ประวิทย์ฯ 15</v>
      </c>
      <c r="G715" s="1" t="str">
        <f ca="1">IFERROR(__xludf.DUMMYFUNCTION("""COMPUTED_VALUE"""),"นำจ่ายใหม่")</f>
        <v>นำจ่ายใหม่</v>
      </c>
      <c r="H715" s="1" t="str">
        <f ca="1">IFERROR(__xludf.DUMMYFUNCTION("""COMPUTED_VALUE"""),"COD 134 บ")</f>
        <v>COD 134 บ</v>
      </c>
      <c r="I715" s="1"/>
      <c r="J715" s="1" t="str">
        <f ca="1">IFERROR(__xludf.DUMMYFUNCTION("""COMPUTED_VALUE"""),"DB3")</f>
        <v>DB3</v>
      </c>
      <c r="K715" s="1" t="str">
        <f ca="1">IFERROR(__xludf.DUMMYFUNCTION("""COMPUTED_VALUE"""),"EMS10260EVD3028")</f>
        <v>EMS10260EVD3028</v>
      </c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 ht="15.75" customHeight="1" x14ac:dyDescent="0.2">
      <c r="A716" s="7">
        <f ca="1">IFERROR(__xludf.DUMMYFUNCTION("""COMPUTED_VALUE"""),243574.589953703)</f>
        <v>243574.58995370299</v>
      </c>
      <c r="B716" s="1" t="str">
        <f ca="1">IFERROR(__xludf.DUMMYFUNCTION("""COMPUTED_VALUE"""),"CEC")</f>
        <v>CEC</v>
      </c>
      <c r="C716" s="1" t="str">
        <f ca="1">IFERROR(__xludf.DUMMYFUNCTION("""COMPUTED_VALUE"""),"EM064662850TH")</f>
        <v>EM064662850TH</v>
      </c>
      <c r="D716" s="1" t="str">
        <f ca="1">IFERROR(__xludf.DUMMYFUNCTION("""COMPUTED_VALUE"""),"YUHUA")</f>
        <v>YUHUA</v>
      </c>
      <c r="E716" s="1" t="str">
        <f ca="1">IFERROR(__xludf.DUMMYFUNCTION("""COMPUTED_VALUE"""),"088-9782081")</f>
        <v>088-9782081</v>
      </c>
      <c r="F716" s="1" t="str">
        <f ca="1">IFERROR(__xludf.DUMMYFUNCTION("""COMPUTED_VALUE"""),"2077/155 ideo verve")</f>
        <v>2077/155 ideo verve</v>
      </c>
      <c r="G716" s="1" t="str">
        <f ca="1">IFERROR(__xludf.DUMMYFUNCTION("""COMPUTED_VALUE"""),"ตรวจสอบการนำจ่าย")</f>
        <v>ตรวจสอบการนำจ่าย</v>
      </c>
      <c r="H716" s="1" t="str">
        <f ca="1">IFERROR(__xludf.DUMMYFUNCTION("""COMPUTED_VALUE"""),"กำชับนำจ่ายวันนี้")</f>
        <v>กำชับนำจ่ายวันนี้</v>
      </c>
      <c r="I716" s="1" t="str">
        <f ca="1">IFERROR(__xludf.DUMMYFUNCTION("""COMPUTED_VALUE"""),"เจ้าหน้าที่นำจ่ายเรียบร้อย")</f>
        <v>เจ้าหน้าที่นำจ่ายเรียบร้อย</v>
      </c>
      <c r="J716" s="1" t="str">
        <f ca="1">IFERROR(__xludf.DUMMYFUNCTION("""COMPUTED_VALUE"""),"DB4")</f>
        <v>DB4</v>
      </c>
      <c r="K716" s="1" t="str">
        <f ca="1">IFERROR(__xludf.DUMMYFUNCTION("""COMPUTED_VALUE"""),"EMS10260EVD4024")</f>
        <v>EMS10260EVD4024</v>
      </c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 ht="15.75" customHeight="1" x14ac:dyDescent="0.2">
      <c r="A717" s="7">
        <f ca="1">IFERROR(__xludf.DUMMYFUNCTION("""COMPUTED_VALUE"""),243574.591377314)</f>
        <v>243574.59137731401</v>
      </c>
      <c r="B717" s="1" t="str">
        <f ca="1">IFERROR(__xludf.DUMMYFUNCTION("""COMPUTED_VALUE"""),"CEC")</f>
        <v>CEC</v>
      </c>
      <c r="C717" s="1" t="str">
        <f ca="1">IFERROR(__xludf.DUMMYFUNCTION("""COMPUTED_VALUE"""),"EY198836481TH")</f>
        <v>EY198836481TH</v>
      </c>
      <c r="D717" s="1" t="str">
        <f ca="1">IFERROR(__xludf.DUMMYFUNCTION("""COMPUTED_VALUE"""),"อุรชา")</f>
        <v>อุรชา</v>
      </c>
      <c r="E717" s="1" t="str">
        <f ca="1">IFERROR(__xludf.DUMMYFUNCTION("""COMPUTED_VALUE"""),"063-9544969")</f>
        <v>063-9544969</v>
      </c>
      <c r="F717" s="1" t="str">
        <f ca="1">IFERROR(__xludf.DUMMYFUNCTION("""COMPUTED_VALUE"""),"22 วิทยาลัยบางนา")</f>
        <v>22 วิทยาลัยบางนา</v>
      </c>
      <c r="G717" s="1" t="str">
        <f ca="1">IFERROR(__xludf.DUMMYFUNCTION("""COMPUTED_VALUE"""),"ตรวจสอบการนำจ่าย")</f>
        <v>ตรวจสอบการนำจ่าย</v>
      </c>
      <c r="H717" s="1" t="str">
        <f ca="1">IFERROR(__xludf.DUMMYFUNCTION("""COMPUTED_VALUE"""),"กำชับการนำจ่ายวันนี้")</f>
        <v>กำชับการนำจ่ายวันนี้</v>
      </c>
      <c r="I717" s="1" t="str">
        <f ca="1">IFERROR(__xludf.DUMMYFUNCTION("""COMPUTED_VALUE"""),"นำจ่ายเรียบร้อยแล้ว")</f>
        <v>นำจ่ายเรียบร้อยแล้ว</v>
      </c>
      <c r="J717" s="1" t="str">
        <f ca="1">IFERROR(__xludf.DUMMYFUNCTION("""COMPUTED_VALUE"""),"DB2")</f>
        <v>DB2</v>
      </c>
      <c r="K717" s="1" t="str">
        <f ca="1">IFERROR(__xludf.DUMMYFUNCTION("""COMPUTED_VALUE"""),"EMS10260EVD2005")</f>
        <v>EMS10260EVD2005</v>
      </c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 ht="15.75" customHeight="1" x14ac:dyDescent="0.2">
      <c r="A718" s="7">
        <f ca="1">IFERROR(__xludf.DUMMYFUNCTION("""COMPUTED_VALUE"""),243574.596782407)</f>
        <v>243574.596782407</v>
      </c>
      <c r="B718" s="1" t="str">
        <f ca="1">IFERROR(__xludf.DUMMYFUNCTION("""COMPUTED_VALUE"""),"CEC")</f>
        <v>CEC</v>
      </c>
      <c r="C718" s="1" t="str">
        <f ca="1">IFERROR(__xludf.DUMMYFUNCTION("""COMPUTED_VALUE"""),"EM266462658TH")</f>
        <v>EM266462658TH</v>
      </c>
      <c r="D718" s="1" t="str">
        <f ca="1">IFERROR(__xludf.DUMMYFUNCTION("""COMPUTED_VALUE"""),"อภิวัฒน์")</f>
        <v>อภิวัฒน์</v>
      </c>
      <c r="E718" s="1" t="str">
        <f ca="1">IFERROR(__xludf.DUMMYFUNCTION("""COMPUTED_VALUE"""),"080-3964456")</f>
        <v>080-3964456</v>
      </c>
      <c r="F718" s="1" t="str">
        <f ca="1">IFERROR(__xludf.DUMMYFUNCTION("""COMPUTED_VALUE"""),"293 แฟลตกลาโหม")</f>
        <v>293 แฟลตกลาโหม</v>
      </c>
      <c r="G718" s="1" t="str">
        <f ca="1">IFERROR(__xludf.DUMMYFUNCTION("""COMPUTED_VALUE"""),"ตรวจสอบการนำจ่าย")</f>
        <v>ตรวจสอบการนำจ่าย</v>
      </c>
      <c r="H718" s="1" t="str">
        <f ca="1">IFERROR(__xludf.DUMMYFUNCTION("""COMPUTED_VALUE"""),"จะเข้ามารับเอง")</f>
        <v>จะเข้ามารับเอง</v>
      </c>
      <c r="I718" s="1"/>
      <c r="J718" s="1" t="str">
        <f ca="1">IFERROR(__xludf.DUMMYFUNCTION("""COMPUTED_VALUE"""),"DB4")</f>
        <v>DB4</v>
      </c>
      <c r="K718" s="1" t="str">
        <f ca="1">IFERROR(__xludf.DUMMYFUNCTION("""COMPUTED_VALUE"""),"EMS10260EVD4001")</f>
        <v>EMS10260EVD4001</v>
      </c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 ht="15.75" customHeight="1" x14ac:dyDescent="0.2">
      <c r="A719" s="7">
        <f ca="1">IFERROR(__xludf.DUMMYFUNCTION("""COMPUTED_VALUE"""),243574.603738425)</f>
        <v>243574.60373842501</v>
      </c>
      <c r="B719" s="1" t="str">
        <f ca="1">IFERROR(__xludf.DUMMYFUNCTION("""COMPUTED_VALUE"""),"CEC")</f>
        <v>CEC</v>
      </c>
      <c r="C719" s="1" t="str">
        <f ca="1">IFERROR(__xludf.DUMMYFUNCTION("""COMPUTED_VALUE"""),"RE671756908TH")</f>
        <v>RE671756908TH</v>
      </c>
      <c r="D719" s="1" t="str">
        <f ca="1">IFERROR(__xludf.DUMMYFUNCTION("""COMPUTED_VALUE"""),"คุมิ")</f>
        <v>คุมิ</v>
      </c>
      <c r="E719" s="1" t="str">
        <f ca="1">IFERROR(__xludf.DUMMYFUNCTION("""COMPUTED_VALUE"""),"061-1914834")</f>
        <v>061-1914834</v>
      </c>
      <c r="F719" s="1" t="str">
        <f ca="1">IFERROR(__xludf.DUMMYFUNCTION("""COMPUTED_VALUE"""),"9 ซี เอส เรสซิเด้นท์")</f>
        <v>9 ซี เอส เรสซิเด้นท์</v>
      </c>
      <c r="G719" s="1" t="str">
        <f ca="1">IFERROR(__xludf.DUMMYFUNCTION("""COMPUTED_VALUE"""),"นำจ่ายใหม่")</f>
        <v>นำจ่ายใหม่</v>
      </c>
      <c r="H719" s="1" t="str">
        <f ca="1">IFERROR(__xludf.DUMMYFUNCTION("""COMPUTED_VALUE"""),"จ่าหน้าไม่ชัดเจน")</f>
        <v>จ่าหน้าไม่ชัดเจน</v>
      </c>
      <c r="I719" s="1"/>
      <c r="J719" s="1" t="str">
        <f ca="1">IFERROR(__xludf.DUMMYFUNCTION("""COMPUTED_VALUE"""),"DB2")</f>
        <v>DB2</v>
      </c>
      <c r="K719" s="1" t="str">
        <f ca="1">IFERROR(__xludf.DUMMYFUNCTION("""COMPUTED_VALUE"""),"EMS10260EVD2006")</f>
        <v>EMS10260EVD2006</v>
      </c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 ht="15.75" customHeight="1" x14ac:dyDescent="0.2">
      <c r="A720" s="7">
        <f ca="1">IFERROR(__xludf.DUMMYFUNCTION("""COMPUTED_VALUE"""),243577.309340277)</f>
        <v>243577.30934027699</v>
      </c>
      <c r="B720" s="1" t="str">
        <f ca="1">IFERROR(__xludf.DUMMYFUNCTION("""COMPUTED_VALUE"""),"CEC")</f>
        <v>CEC</v>
      </c>
      <c r="C720" s="1" t="str">
        <f ca="1">IFERROR(__xludf.DUMMYFUNCTION("""COMPUTED_VALUE"""),"RE764062761TH")</f>
        <v>RE764062761TH</v>
      </c>
      <c r="D720" s="1" t="str">
        <f ca="1">IFERROR(__xludf.DUMMYFUNCTION("""COMPUTED_VALUE"""),"วิชิต")</f>
        <v>วิชิต</v>
      </c>
      <c r="E720" s="1" t="str">
        <f ca="1">IFERROR(__xludf.DUMMYFUNCTION("""COMPUTED_VALUE"""),"084-9015427")</f>
        <v>084-9015427</v>
      </c>
      <c r="F720" s="1" t="str">
        <f ca="1">IFERROR(__xludf.DUMMYFUNCTION("""COMPUTED_VALUE"""),"423/14 นิรันดร์คอนโด พึ่งมี 50")</f>
        <v>423/14 นิรันดร์คอนโด พึ่งมี 50</v>
      </c>
      <c r="G720" s="1" t="str">
        <f ca="1">IFERROR(__xludf.DUMMYFUNCTION("""COMPUTED_VALUE"""),"ตรวจสอบการนำจ่าย")</f>
        <v>ตรวจสอบการนำจ่าย</v>
      </c>
      <c r="H720" s="1" t="str">
        <f ca="1">IFERROR(__xludf.DUMMYFUNCTION("""COMPUTED_VALUE"""),"นำจ่าย 9/11/66 ไม่ได้รับ")</f>
        <v>นำจ่าย 9/11/66 ไม่ได้รับ</v>
      </c>
      <c r="I720" s="1"/>
      <c r="J720" s="1" t="str">
        <f ca="1">IFERROR(__xludf.DUMMYFUNCTION("""COMPUTED_VALUE"""),"นำจ่ายรถยนต์")</f>
        <v>นำจ่ายรถยนต์</v>
      </c>
      <c r="K720" s="1" t="str">
        <f ca="1">IFERROR(__xludf.DUMMYFUNCTION("""COMPUTED_VALUE"""),"CAR10260EVD5013")</f>
        <v>CAR10260EVD5013</v>
      </c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 ht="15.75" customHeight="1" x14ac:dyDescent="0.2">
      <c r="A721" s="7">
        <f ca="1">IFERROR(__xludf.DUMMYFUNCTION("""COMPUTED_VALUE"""),243577.364537037)</f>
        <v>243577.36453703701</v>
      </c>
      <c r="B721" s="1" t="str">
        <f ca="1">IFERROR(__xludf.DUMMYFUNCTION("""COMPUTED_VALUE"""),"CEC")</f>
        <v>CEC</v>
      </c>
      <c r="C721" s="1" t="str">
        <f ca="1">IFERROR(__xludf.DUMMYFUNCTION("""COMPUTED_VALUE"""),"ED936182463TH")</f>
        <v>ED936182463TH</v>
      </c>
      <c r="D721" s="1" t="str">
        <f ca="1">IFERROR(__xludf.DUMMYFUNCTION("""COMPUTED_VALUE"""),"อานนท์")</f>
        <v>อานนท์</v>
      </c>
      <c r="E721" s="1" t="str">
        <f ca="1">IFERROR(__xludf.DUMMYFUNCTION("""COMPUTED_VALUE"""),"084-7646756")</f>
        <v>084-7646756</v>
      </c>
      <c r="F721" s="1" t="str">
        <f ca="1">IFERROR(__xludf.DUMMYFUNCTION("""COMPUTED_VALUE"""),"669/10 ปุณณวิถี 23")</f>
        <v>669/10 ปุณณวิถี 23</v>
      </c>
      <c r="G721" s="1" t="str">
        <f ca="1">IFERROR(__xludf.DUMMYFUNCTION("""COMPUTED_VALUE"""),"นำจ่ายใหม่")</f>
        <v>นำจ่ายใหม่</v>
      </c>
      <c r="H721" s="1" t="str">
        <f ca="1">IFERROR(__xludf.DUMMYFUNCTION("""COMPUTED_VALUE"""),"บ้านปิด 19/11/66")</f>
        <v>บ้านปิด 19/11/66</v>
      </c>
      <c r="I721" s="1"/>
      <c r="J721" s="1" t="str">
        <f ca="1">IFERROR(__xludf.DUMMYFUNCTION("""COMPUTED_VALUE"""),"DB3")</f>
        <v>DB3</v>
      </c>
      <c r="K721" s="1" t="str">
        <f ca="1">IFERROR(__xludf.DUMMYFUNCTION("""COMPUTED_VALUE"""),"EMS10260EVD3016")</f>
        <v>EMS10260EVD3016</v>
      </c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 ht="15.75" customHeight="1" x14ac:dyDescent="0.2">
      <c r="A722" s="7">
        <f ca="1">IFERROR(__xludf.DUMMYFUNCTION("""COMPUTED_VALUE"""),243577.389756944)</f>
        <v>243577.389756944</v>
      </c>
      <c r="B722" s="1" t="str">
        <f ca="1">IFERROR(__xludf.DUMMYFUNCTION("""COMPUTED_VALUE"""),"CEC")</f>
        <v>CEC</v>
      </c>
      <c r="C722" s="1" t="str">
        <f ca="1">IFERROR(__xludf.DUMMYFUNCTION("""COMPUTED_VALUE"""),"-")</f>
        <v>-</v>
      </c>
      <c r="D722" s="1" t="str">
        <f ca="1">IFERROR(__xludf.DUMMYFUNCTION("""COMPUTED_VALUE"""),"ไพบูลย์")</f>
        <v>ไพบูลย์</v>
      </c>
      <c r="E722" s="1" t="str">
        <f ca="1">IFERROR(__xludf.DUMMYFUNCTION("""COMPUTED_VALUE"""),"092-9614232")</f>
        <v>092-9614232</v>
      </c>
      <c r="F722" s="1" t="str">
        <f ca="1">IFERROR(__xludf.DUMMYFUNCTION("""COMPUTED_VALUE"""),"8 ลาซาล 14")</f>
        <v>8 ลาซาล 14</v>
      </c>
      <c r="G722" s="1" t="str">
        <f ca="1">IFERROR(__xludf.DUMMYFUNCTION("""COMPUTED_VALUE"""),"ร้องเรียนบริการ")</f>
        <v>ร้องเรียนบริการ</v>
      </c>
      <c r="H722" s="1" t="str">
        <f ca="1">IFERROR(__xludf.DUMMYFUNCTION("""COMPUTED_VALUE"""),"ตรวจสอบร้องเรียนเรื่องการนยำจ่ายจดหมายธรรมดา ยังไม่ได้รับ")</f>
        <v>ตรวจสอบร้องเรียนเรื่องการนยำจ่ายจดหมายธรรมดา ยังไม่ได้รับ</v>
      </c>
      <c r="I722" s="1" t="str">
        <f ca="1">IFERROR(__xludf.DUMMYFUNCTION("""COMPUTED_VALUE"""),"แจ้งประสาน ผนจ บางนา 1 ทราบแล้ว")</f>
        <v>แจ้งประสาน ผนจ บางนา 1 ทราบแล้ว</v>
      </c>
      <c r="J722" s="1" t="str">
        <f ca="1">IFERROR(__xludf.DUMMYFUNCTION("""COMPUTED_VALUE"""),"DB1")</f>
        <v>DB1</v>
      </c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 ht="15.75" customHeight="1" x14ac:dyDescent="0.2">
      <c r="A723" s="7">
        <f ca="1">IFERROR(__xludf.DUMMYFUNCTION("""COMPUTED_VALUE"""),243577.397349537)</f>
        <v>243577.397349537</v>
      </c>
      <c r="B723" s="1" t="str">
        <f ca="1">IFERROR(__xludf.DUMMYFUNCTION("""COMPUTED_VALUE"""),"CEC")</f>
        <v>CEC</v>
      </c>
      <c r="C723" s="1" t="str">
        <f ca="1">IFERROR(__xludf.DUMMYFUNCTION("""COMPUTED_VALUE"""),"EV774134026TH")</f>
        <v>EV774134026TH</v>
      </c>
      <c r="D723" s="1" t="str">
        <f ca="1">IFERROR(__xludf.DUMMYFUNCTION("""COMPUTED_VALUE"""),"ชานนท์")</f>
        <v>ชานนท์</v>
      </c>
      <c r="E723" s="1" t="str">
        <f ca="1">IFERROR(__xludf.DUMMYFUNCTION("""COMPUTED_VALUE"""),"061-6021362")</f>
        <v>061-6021362</v>
      </c>
      <c r="F723" s="1" t="str">
        <f ca="1">IFERROR(__xludf.DUMMYFUNCTION("""COMPUTED_VALUE"""),"61/185 คอนโดทิพย์ธานี ซอยอ่องเอี่ยม บางนาตราด 32")</f>
        <v>61/185 คอนโดทิพย์ธานี ซอยอ่องเอี่ยม บางนาตราด 32</v>
      </c>
      <c r="G723" s="1" t="str">
        <f ca="1">IFERROR(__xludf.DUMMYFUNCTION("""COMPUTED_VALUE"""),"ตรวจสอบการนำจ่าย")</f>
        <v>ตรวจสอบการนำจ่าย</v>
      </c>
      <c r="H723" s="1" t="str">
        <f ca="1">IFERROR(__xludf.DUMMYFUNCTION("""COMPUTED_VALUE"""),"นำจ่าย 18/11/66 ไม่ได้รับ")</f>
        <v>นำจ่าย 18/11/66 ไม่ได้รับ</v>
      </c>
      <c r="I723" s="1"/>
      <c r="J723" s="1" t="str">
        <f ca="1">IFERROR(__xludf.DUMMYFUNCTION("""COMPUTED_VALUE"""),"DB1")</f>
        <v>DB1</v>
      </c>
      <c r="K723" s="1" t="str">
        <f ca="1">IFERROR(__xludf.DUMMYFUNCTION("""COMPUTED_VALUE"""),"EMS10260EVD1032")</f>
        <v>EMS10260EVD1032</v>
      </c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 ht="15.75" customHeight="1" x14ac:dyDescent="0.2">
      <c r="A724" s="7">
        <f ca="1">IFERROR(__xludf.DUMMYFUNCTION("""COMPUTED_VALUE"""),243577.405011574)</f>
        <v>243577.40501157401</v>
      </c>
      <c r="B724" s="1" t="str">
        <f ca="1">IFERROR(__xludf.DUMMYFUNCTION("""COMPUTED_VALUE"""),"CEC")</f>
        <v>CEC</v>
      </c>
      <c r="C724" s="1" t="str">
        <f ca="1">IFERROR(__xludf.DUMMYFUNCTION("""COMPUTED_VALUE"""),"EM039389017TH")</f>
        <v>EM039389017TH</v>
      </c>
      <c r="D724" s="1" t="str">
        <f ca="1">IFERROR(__xludf.DUMMYFUNCTION("""COMPUTED_VALUE"""),"เปรมปรี")</f>
        <v>เปรมปรี</v>
      </c>
      <c r="E724" s="1" t="str">
        <f ca="1">IFERROR(__xludf.DUMMYFUNCTION("""COMPUTED_VALUE"""),"096-0431903")</f>
        <v>096-0431903</v>
      </c>
      <c r="F724" s="1" t="str">
        <f ca="1">IFERROR(__xludf.DUMMYFUNCTION("""COMPUTED_VALUE"""),"282/26 ปาล์มคอนโด ซ.กุศลศิลป์")</f>
        <v>282/26 ปาล์มคอนโด ซ.กุศลศิลป์</v>
      </c>
      <c r="G724" s="1" t="str">
        <f ca="1">IFERROR(__xludf.DUMMYFUNCTION("""COMPUTED_VALUE"""),"นำจ่ายใหม่")</f>
        <v>นำจ่ายใหม่</v>
      </c>
      <c r="H724" s="1" t="str">
        <f ca="1">IFERROR(__xludf.DUMMYFUNCTION("""COMPUTED_VALUE"""),"บ้านปิด 16/11/66")</f>
        <v>บ้านปิด 16/11/66</v>
      </c>
      <c r="I724" s="1"/>
      <c r="J724" s="1" t="str">
        <f ca="1">IFERROR(__xludf.DUMMYFUNCTION("""COMPUTED_VALUE"""),"DB2")</f>
        <v>DB2</v>
      </c>
      <c r="K724" s="1" t="str">
        <f ca="1">IFERROR(__xludf.DUMMYFUNCTION("""COMPUTED_VALUE"""),"EMS10260EVD2001")</f>
        <v>EMS10260EVD2001</v>
      </c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 ht="15.75" customHeight="1" x14ac:dyDescent="0.2">
      <c r="A725" s="7">
        <f ca="1">IFERROR(__xludf.DUMMYFUNCTION("""COMPUTED_VALUE"""),243577.410914351)</f>
        <v>243577.410914351</v>
      </c>
      <c r="B725" s="1" t="str">
        <f ca="1">IFERROR(__xludf.DUMMYFUNCTION("""COMPUTED_VALUE"""),"CEC")</f>
        <v>CEC</v>
      </c>
      <c r="C725" s="1" t="str">
        <f ca="1">IFERROR(__xludf.DUMMYFUNCTION("""COMPUTED_VALUE"""),"ED984484146TH")</f>
        <v>ED984484146TH</v>
      </c>
      <c r="D725" s="1" t="str">
        <f ca="1">IFERROR(__xludf.DUMMYFUNCTION("""COMPUTED_VALUE"""),"บ.เอส พี ดี")</f>
        <v>บ.เอส พี ดี</v>
      </c>
      <c r="E725" s="1" t="str">
        <f ca="1">IFERROR(__xludf.DUMMYFUNCTION("""COMPUTED_VALUE"""),"098-6017542")</f>
        <v>098-6017542</v>
      </c>
      <c r="F725" s="1" t="str">
        <f ca="1">IFERROR(__xludf.DUMMYFUNCTION("""COMPUTED_VALUE"""),"1194 วชิรธรรมสาธิต 57")</f>
        <v>1194 วชิรธรรมสาธิต 57</v>
      </c>
      <c r="G725" s="1" t="str">
        <f ca="1">IFERROR(__xludf.DUMMYFUNCTION("""COMPUTED_VALUE"""),"นำจ่ายใหม่")</f>
        <v>นำจ่ายใหม่</v>
      </c>
      <c r="H725" s="1" t="str">
        <f ca="1">IFERROR(__xludf.DUMMYFUNCTION("""COMPUTED_VALUE"""),"บ้านปิด 19/11/66")</f>
        <v>บ้านปิด 19/11/66</v>
      </c>
      <c r="I725" s="1"/>
      <c r="J725" s="1" t="str">
        <f ca="1">IFERROR(__xludf.DUMMYFUNCTION("""COMPUTED_VALUE"""),"DB3")</f>
        <v>DB3</v>
      </c>
      <c r="K725" s="1" t="str">
        <f ca="1">IFERROR(__xludf.DUMMYFUNCTION("""COMPUTED_VALUE"""),"EMS10260EVD3029")</f>
        <v>EMS10260EVD3029</v>
      </c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 ht="15.75" customHeight="1" x14ac:dyDescent="0.2">
      <c r="A726" s="7">
        <f ca="1">IFERROR(__xludf.DUMMYFUNCTION("""COMPUTED_VALUE"""),243577.412881944)</f>
        <v>243577.41288194401</v>
      </c>
      <c r="B726" s="1" t="str">
        <f ca="1">IFERROR(__xludf.DUMMYFUNCTION("""COMPUTED_VALUE"""),"CEC")</f>
        <v>CEC</v>
      </c>
      <c r="C726" s="1" t="str">
        <f ca="1">IFERROR(__xludf.DUMMYFUNCTION("""COMPUTED_VALUE"""),"EF201951555TH")</f>
        <v>EF201951555TH</v>
      </c>
      <c r="D726" s="1" t="str">
        <f ca="1">IFERROR(__xludf.DUMMYFUNCTION("""COMPUTED_VALUE"""),"กฤตภาส")</f>
        <v>กฤตภาส</v>
      </c>
      <c r="E726" s="1" t="str">
        <f ca="1">IFERROR(__xludf.DUMMYFUNCTION("""COMPUTED_VALUE"""),"083-5669441")</f>
        <v>083-5669441</v>
      </c>
      <c r="F726" s="1" t="str">
        <f ca="1">IFERROR(__xludf.DUMMYFUNCTION("""COMPUTED_VALUE"""),"19 ม.นภาลัย ซ.3")</f>
        <v>19 ม.นภาลัย ซ.3</v>
      </c>
      <c r="G726" s="1" t="str">
        <f ca="1">IFERROR(__xludf.DUMMYFUNCTION("""COMPUTED_VALUE"""),"นำจ่ายใหม่")</f>
        <v>นำจ่ายใหม่</v>
      </c>
      <c r="H726" s="1" t="str">
        <f ca="1">IFERROR(__xludf.DUMMYFUNCTION("""COMPUTED_VALUE"""),"cod 690 บ")</f>
        <v>cod 690 บ</v>
      </c>
      <c r="I726" s="1"/>
      <c r="J726" s="1" t="str">
        <f ca="1">IFERROR(__xludf.DUMMYFUNCTION("""COMPUTED_VALUE"""),"DB1")</f>
        <v>DB1</v>
      </c>
      <c r="K726" s="1" t="str">
        <f ca="1">IFERROR(__xludf.DUMMYFUNCTION("""COMPUTED_VALUE"""),"EMS10260EVD1007")</f>
        <v>EMS10260EVD1007</v>
      </c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 ht="15.75" customHeight="1" x14ac:dyDescent="0.2">
      <c r="A727" s="7">
        <f ca="1">IFERROR(__xludf.DUMMYFUNCTION("""COMPUTED_VALUE"""),243577.417141203)</f>
        <v>243577.41714120301</v>
      </c>
      <c r="B727" s="1" t="str">
        <f ca="1">IFERROR(__xludf.DUMMYFUNCTION("""COMPUTED_VALUE"""),"CEC")</f>
        <v>CEC</v>
      </c>
      <c r="C727" s="1" t="str">
        <f ca="1">IFERROR(__xludf.DUMMYFUNCTION("""COMPUTED_VALUE"""),"RI901360000TH")</f>
        <v>RI901360000TH</v>
      </c>
      <c r="D727" s="1" t="str">
        <f ca="1">IFERROR(__xludf.DUMMYFUNCTION("""COMPUTED_VALUE"""),"พรศิวา")</f>
        <v>พรศิวา</v>
      </c>
      <c r="E727" s="1" t="str">
        <f ca="1">IFERROR(__xludf.DUMMYFUNCTION("""COMPUTED_VALUE"""),"080-9756551")</f>
        <v>080-9756551</v>
      </c>
      <c r="F727" s="1" t="str">
        <f ca="1">IFERROR(__xludf.DUMMYFUNCTION("""COMPUTED_VALUE"""),"1499/396 เอสเพ็นคอนโด")</f>
        <v>1499/396 เอสเพ็นคอนโด</v>
      </c>
      <c r="G727" s="1" t="str">
        <f ca="1">IFERROR(__xludf.DUMMYFUNCTION("""COMPUTED_VALUE"""),"นำจ่ายใหม่")</f>
        <v>นำจ่ายใหม่</v>
      </c>
      <c r="H727" s="1" t="str">
        <f ca="1">IFERROR(__xludf.DUMMYFUNCTION("""COMPUTED_VALUE"""),"บ้านปิด 15/11/66")</f>
        <v>บ้านปิด 15/11/66</v>
      </c>
      <c r="I727" s="1"/>
      <c r="J727" s="1" t="str">
        <f ca="1">IFERROR(__xludf.DUMMYFUNCTION("""COMPUTED_VALUE"""),"นำจ่ายรถยนต์")</f>
        <v>นำจ่ายรถยนต์</v>
      </c>
      <c r="K727" s="1" t="str">
        <f ca="1">IFERROR(__xludf.DUMMYFUNCTION("""COMPUTED_VALUE"""),"CAR10260EVD5008")</f>
        <v>CAR10260EVD5008</v>
      </c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 ht="15.75" customHeight="1" x14ac:dyDescent="0.2">
      <c r="A728" s="7">
        <f ca="1">IFERROR(__xludf.DUMMYFUNCTION("""COMPUTED_VALUE"""),243578.435243055)</f>
        <v>243578.43524305499</v>
      </c>
      <c r="B728" s="1" t="str">
        <f ca="1">IFERROR(__xludf.DUMMYFUNCTION("""COMPUTED_VALUE"""),"CEC")</f>
        <v>CEC</v>
      </c>
      <c r="C728" s="1" t="str">
        <f ca="1">IFERROR(__xludf.DUMMYFUNCTION("""COMPUTED_VALUE"""),"EJ948242646TH")</f>
        <v>EJ948242646TH</v>
      </c>
      <c r="D728" s="1" t="str">
        <f ca="1">IFERROR(__xludf.DUMMYFUNCTION("""COMPUTED_VALUE"""),"waiyinlaw")</f>
        <v>waiyinlaw</v>
      </c>
      <c r="E728" s="1" t="str">
        <f ca="1">IFERROR(__xludf.DUMMYFUNCTION("""COMPUTED_VALUE"""),"065-1193922")</f>
        <v>065-1193922</v>
      </c>
      <c r="F728" s="1" t="str">
        <f ca="1">IFERROR(__xludf.DUMMYFUNCTION("""COMPUTED_VALUE"""),"909 อ.แอมเพิลทาวเวอร์")</f>
        <v>909 อ.แอมเพิลทาวเวอร์</v>
      </c>
      <c r="G728" s="1" t="str">
        <f ca="1">IFERROR(__xludf.DUMMYFUNCTION("""COMPUTED_VALUE"""),"ตรวจสอบการนำจ่าย")</f>
        <v>ตรวจสอบการนำจ่าย</v>
      </c>
      <c r="H728" s="1" t="str">
        <f ca="1">IFERROR(__xludf.DUMMYFUNCTION("""COMPUTED_VALUE"""),"นำจ่าย 21/10/66")</f>
        <v>นำจ่าย 21/10/66</v>
      </c>
      <c r="I728" s="1" t="str">
        <f ca="1">IFERROR(__xludf.DUMMYFUNCTION("""COMPUTED_VALUE"""),"แจ้งเจ้าหน้าที่ตรวจสอบแล้ว")</f>
        <v>แจ้งเจ้าหน้าที่ตรวจสอบแล้ว</v>
      </c>
      <c r="J728" s="1" t="str">
        <f ca="1">IFERROR(__xludf.DUMMYFUNCTION("""COMPUTED_VALUE"""),"นำจ่ายรถยนต์")</f>
        <v>นำจ่ายรถยนต์</v>
      </c>
      <c r="K728" s="1" t="str">
        <f ca="1">IFERROR(__xludf.DUMMYFUNCTION("""COMPUTED_VALUE"""),"GEN07261EVD0131")</f>
        <v>GEN07261EVD0131</v>
      </c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 ht="15.75" customHeight="1" x14ac:dyDescent="0.2">
      <c r="A729" s="7">
        <f ca="1">IFERROR(__xludf.DUMMYFUNCTION("""COMPUTED_VALUE"""),243578.437349537)</f>
        <v>243578.43734953701</v>
      </c>
      <c r="B729" s="1" t="str">
        <f ca="1">IFERROR(__xludf.DUMMYFUNCTION("""COMPUTED_VALUE"""),"CEC")</f>
        <v>CEC</v>
      </c>
      <c r="C729" s="1" t="str">
        <f ca="1">IFERROR(__xludf.DUMMYFUNCTION("""COMPUTED_VALUE"""),"EB951401815TH")</f>
        <v>EB951401815TH</v>
      </c>
      <c r="D729" s="1" t="str">
        <f ca="1">IFERROR(__xludf.DUMMYFUNCTION("""COMPUTED_VALUE"""),"พิเชษฐ์")</f>
        <v>พิเชษฐ์</v>
      </c>
      <c r="E729" s="1" t="str">
        <f ca="1">IFERROR(__xludf.DUMMYFUNCTION("""COMPUTED_VALUE"""),"091-5464426")</f>
        <v>091-5464426</v>
      </c>
      <c r="F729" s="1" t="str">
        <f ca="1">IFERROR(__xludf.DUMMYFUNCTION("""COMPUTED_VALUE"""),"83 ม.นภาลัย ซ.9")</f>
        <v>83 ม.นภาลัย ซ.9</v>
      </c>
      <c r="G729" s="1" t="str">
        <f ca="1">IFERROR(__xludf.DUMMYFUNCTION("""COMPUTED_VALUE"""),"นำจ่ายใหม่")</f>
        <v>นำจ่ายใหม่</v>
      </c>
      <c r="H729" s="1" t="str">
        <f ca="1">IFERROR(__xludf.DUMMYFUNCTION("""COMPUTED_VALUE"""),"ออกใบแจ้ง 16/11/66")</f>
        <v>ออกใบแจ้ง 16/11/66</v>
      </c>
      <c r="I729" s="1" t="str">
        <f ca="1">IFERROR(__xludf.DUMMYFUNCTION("""COMPUTED_VALUE"""),"นำจ่ายใหม่แล้ว")</f>
        <v>นำจ่ายใหม่แล้ว</v>
      </c>
      <c r="J729" s="1" t="str">
        <f ca="1">IFERROR(__xludf.DUMMYFUNCTION("""COMPUTED_VALUE"""),"DB1")</f>
        <v>DB1</v>
      </c>
      <c r="K729" s="1" t="str">
        <f ca="1">IFERROR(__xludf.DUMMYFUNCTION("""COMPUTED_VALUE"""),"EMS10260EVD1005")</f>
        <v>EMS10260EVD1005</v>
      </c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 ht="15.75" customHeight="1" x14ac:dyDescent="0.2">
      <c r="A730" s="7">
        <f ca="1">IFERROR(__xludf.DUMMYFUNCTION("""COMPUTED_VALUE"""),243578.439016203)</f>
        <v>243578.43901620299</v>
      </c>
      <c r="B730" s="1" t="str">
        <f ca="1">IFERROR(__xludf.DUMMYFUNCTION("""COMPUTED_VALUE"""),"On Queue")</f>
        <v>On Queue</v>
      </c>
      <c r="C730" s="1" t="str">
        <f ca="1">IFERROR(__xludf.DUMMYFUNCTION("""COMPUTED_VALUE"""),"EK129461908TH")</f>
        <v>EK129461908TH</v>
      </c>
      <c r="D730" s="1" t="str">
        <f ca="1">IFERROR(__xludf.DUMMYFUNCTION("""COMPUTED_VALUE"""),"สุรัชนา")</f>
        <v>สุรัชนา</v>
      </c>
      <c r="E730" s="1" t="str">
        <f ca="1">IFERROR(__xludf.DUMMYFUNCTION("""COMPUTED_VALUE"""),"087-3043942")</f>
        <v>087-3043942</v>
      </c>
      <c r="F730" s="1" t="str">
        <f ca="1">IFERROR(__xludf.DUMMYFUNCTION("""COMPUTED_VALUE"""),"289/489 คอนโดเดอะเบส ซ. 77")</f>
        <v>289/489 คอนโดเดอะเบส ซ. 77</v>
      </c>
      <c r="G730" s="1" t="str">
        <f ca="1">IFERROR(__xludf.DUMMYFUNCTION("""COMPUTED_VALUE"""),"ตรวจสอบการนำจ่าย")</f>
        <v>ตรวจสอบการนำจ่าย</v>
      </c>
      <c r="H730" s="1" t="str">
        <f ca="1">IFERROR(__xludf.DUMMYFUNCTION("""COMPUTED_VALUE"""),"นำจ่าย 17/11/66")</f>
        <v>นำจ่าย 17/11/66</v>
      </c>
      <c r="I730" s="1"/>
      <c r="J730" s="1" t="str">
        <f ca="1">IFERROR(__xludf.DUMMYFUNCTION("""COMPUTED_VALUE"""),"นำจ่ายรถยนต์")</f>
        <v>นำจ่ายรถยนต์</v>
      </c>
      <c r="K730" s="1" t="str">
        <f ca="1">IFERROR(__xludf.DUMMYFUNCTION("""COMPUTED_VALUE"""),"CAR10260EVD5013")</f>
        <v>CAR10260EVD5013</v>
      </c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 ht="15.75" customHeight="1" x14ac:dyDescent="0.2">
      <c r="A731" s="7">
        <f ca="1">IFERROR(__xludf.DUMMYFUNCTION("""COMPUTED_VALUE"""),243578.440393518)</f>
        <v>243578.44039351799</v>
      </c>
      <c r="B731" s="1" t="str">
        <f ca="1">IFERROR(__xludf.DUMMYFUNCTION("""COMPUTED_VALUE"""),"On Queue")</f>
        <v>On Queue</v>
      </c>
      <c r="C731" s="1" t="str">
        <f ca="1">IFERROR(__xludf.DUMMYFUNCTION("""COMPUTED_VALUE"""),"RI889539484TH")</f>
        <v>RI889539484TH</v>
      </c>
      <c r="D731" s="1" t="str">
        <f ca="1">IFERROR(__xludf.DUMMYFUNCTION("""COMPUTED_VALUE"""),"ลิลินดา")</f>
        <v>ลิลินดา</v>
      </c>
      <c r="E731" s="1" t="str">
        <f ca="1">IFERROR(__xludf.DUMMYFUNCTION("""COMPUTED_VALUE"""),"081-8592206")</f>
        <v>081-8592206</v>
      </c>
      <c r="F731" s="1" t="str">
        <f ca="1">IFERROR(__xludf.DUMMYFUNCTION("""COMPUTED_VALUE"""),"32(940/60) อุดมสุข 56")</f>
        <v>32(940/60) อุดมสุข 56</v>
      </c>
      <c r="G731" s="1" t="str">
        <f ca="1">IFERROR(__xludf.DUMMYFUNCTION("""COMPUTED_VALUE"""),"นำจ่ายใหม่")</f>
        <v>นำจ่ายใหม่</v>
      </c>
      <c r="H731" s="1" t="str">
        <f ca="1">IFERROR(__xludf.DUMMYFUNCTION("""COMPUTED_VALUE"""),"ยังไม่เตรียมการ 19/11/66")</f>
        <v>ยังไม่เตรียมการ 19/11/66</v>
      </c>
      <c r="I731" s="1" t="str">
        <f ca="1">IFERROR(__xludf.DUMMYFUNCTION("""COMPUTED_VALUE"""),"นำจ่ายใหม่เรียบลร้อยแล้ว")</f>
        <v>นำจ่ายใหม่เรียบลร้อยแล้ว</v>
      </c>
      <c r="J731" s="1" t="str">
        <f ca="1">IFERROR(__xludf.DUMMYFUNCTION("""COMPUTED_VALUE"""),"DB2")</f>
        <v>DB2</v>
      </c>
      <c r="K731" s="1" t="str">
        <f ca="1">IFERROR(__xludf.DUMMYFUNCTION("""COMPUTED_VALUE"""),"EMS10260EVD2009")</f>
        <v>EMS10260EVD2009</v>
      </c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 ht="15.75" customHeight="1" x14ac:dyDescent="0.2">
      <c r="A732" s="7">
        <f ca="1">IFERROR(__xludf.DUMMYFUNCTION("""COMPUTED_VALUE"""),243578.442083333)</f>
        <v>243578.44208333301</v>
      </c>
      <c r="B732" s="1" t="str">
        <f ca="1">IFERROR(__xludf.DUMMYFUNCTION("""COMPUTED_VALUE"""),"CEC")</f>
        <v>CEC</v>
      </c>
      <c r="C732" s="1" t="str">
        <f ca="1">IFERROR(__xludf.DUMMYFUNCTION("""COMPUTED_VALUE"""),"OA150330501TH")</f>
        <v>OA150330501TH</v>
      </c>
      <c r="D732" s="1" t="str">
        <f ca="1">IFERROR(__xludf.DUMMYFUNCTION("""COMPUTED_VALUE"""),"ชนิสรา")</f>
        <v>ชนิสรา</v>
      </c>
      <c r="E732" s="1" t="str">
        <f ca="1">IFERROR(__xludf.DUMMYFUNCTION("""COMPUTED_VALUE"""),"094-5256695")</f>
        <v>094-5256695</v>
      </c>
      <c r="F732" s="1" t="str">
        <f ca="1">IFERROR(__xludf.DUMMYFUNCTION("""COMPUTED_VALUE"""),"6399,6299/0-19 ริเวอร์ไซส์แมนชั่น")</f>
        <v>6399,6299/0-19 ริเวอร์ไซส์แมนชั่น</v>
      </c>
      <c r="G732" s="1" t="str">
        <f ca="1">IFERROR(__xludf.DUMMYFUNCTION("""COMPUTED_VALUE"""),"ตรวจสอบการนำจ่าย")</f>
        <v>ตรวจสอบการนำจ่าย</v>
      </c>
      <c r="H732" s="1" t="str">
        <f ca="1">IFERROR(__xludf.DUMMYFUNCTION("""COMPUTED_VALUE"""),"นำจ่าย 19/11/66 ไม่ได้รับ")</f>
        <v>นำจ่าย 19/11/66 ไม่ได้รับ</v>
      </c>
      <c r="I732" s="1" t="str">
        <f ca="1">IFERROR(__xludf.DUMMYFUNCTION("""COMPUTED_VALUE"""),"แจ้งเจ้าหน้าที่ตรวจสอบแล้ว")</f>
        <v>แจ้งเจ้าหน้าที่ตรวจสอบแล้ว</v>
      </c>
      <c r="J732" s="1" t="str">
        <f ca="1">IFERROR(__xludf.DUMMYFUNCTION("""COMPUTED_VALUE"""),"นำจ่ายรถยนต์")</f>
        <v>นำจ่ายรถยนต์</v>
      </c>
      <c r="K732" s="1" t="str">
        <f ca="1">IFERROR(__xludf.DUMMYFUNCTION("""COMPUTED_VALUE"""),"CAR10260EVD5001")</f>
        <v>CAR10260EVD5001</v>
      </c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 ht="15.75" customHeight="1" x14ac:dyDescent="0.2">
      <c r="A733" s="7">
        <f ca="1">IFERROR(__xludf.DUMMYFUNCTION("""COMPUTED_VALUE"""),243578.443842592)</f>
        <v>243578.44384259201</v>
      </c>
      <c r="B733" s="1" t="str">
        <f ca="1">IFERROR(__xludf.DUMMYFUNCTION("""COMPUTED_VALUE"""),"CEC")</f>
        <v>CEC</v>
      </c>
      <c r="C733" s="1" t="str">
        <f ca="1">IFERROR(__xludf.DUMMYFUNCTION("""COMPUTED_VALUE"""),"EM480516998TH")</f>
        <v>EM480516998TH</v>
      </c>
      <c r="D733" s="1" t="str">
        <f ca="1">IFERROR(__xludf.DUMMYFUNCTION("""COMPUTED_VALUE"""),"tun")</f>
        <v>tun</v>
      </c>
      <c r="E733" s="1" t="str">
        <f ca="1">IFERROR(__xludf.DUMMYFUNCTION("""COMPUTED_VALUE"""),"062-6299462")</f>
        <v>062-6299462</v>
      </c>
      <c r="F733" s="1" t="str">
        <f ca="1">IFERROR(__xludf.DUMMYFUNCTION("""COMPUTED_VALUE"""),"1011 อินเด็กลิฟวิ่งมอลล")</f>
        <v>1011 อินเด็กลิฟวิ่งมอลล</v>
      </c>
      <c r="G733" s="1" t="str">
        <f ca="1">IFERROR(__xludf.DUMMYFUNCTION("""COMPUTED_VALUE"""),"นำจ่ายใหม่")</f>
        <v>นำจ่ายใหม่</v>
      </c>
      <c r="H733" s="1" t="str">
        <f ca="1">IFERROR(__xludf.DUMMYFUNCTION("""COMPUTED_VALUE"""),"ออกใบแจ้ง 20/11/66")</f>
        <v>ออกใบแจ้ง 20/11/66</v>
      </c>
      <c r="I733" s="1" t="str">
        <f ca="1">IFERROR(__xludf.DUMMYFUNCTION("""COMPUTED_VALUE"""),"แจ้งเจ้าหน้าที่แล้ว")</f>
        <v>แจ้งเจ้าหน้าที่แล้ว</v>
      </c>
      <c r="J733" s="1" t="str">
        <f ca="1">IFERROR(__xludf.DUMMYFUNCTION("""COMPUTED_VALUE"""),"DB2")</f>
        <v>DB2</v>
      </c>
      <c r="K733" s="1" t="str">
        <f ca="1">IFERROR(__xludf.DUMMYFUNCTION("""COMPUTED_VALUE"""),"EMS10260EVD2010")</f>
        <v>EMS10260EVD2010</v>
      </c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 ht="15.75" customHeight="1" x14ac:dyDescent="0.2">
      <c r="A734" s="7">
        <f ca="1">IFERROR(__xludf.DUMMYFUNCTION("""COMPUTED_VALUE"""),243578.447372685)</f>
        <v>243578.44737268501</v>
      </c>
      <c r="B734" s="1" t="str">
        <f ca="1">IFERROR(__xludf.DUMMYFUNCTION("""COMPUTED_VALUE"""),"CEC")</f>
        <v>CEC</v>
      </c>
      <c r="C734" s="1" t="str">
        <f ca="1">IFERROR(__xludf.DUMMYFUNCTION("""COMPUTED_VALUE"""),"EF199249023TH")</f>
        <v>EF199249023TH</v>
      </c>
      <c r="D734" s="1" t="str">
        <f ca="1">IFERROR(__xludf.DUMMYFUNCTION("""COMPUTED_VALUE"""),"วิโรจน์")</f>
        <v>วิโรจน์</v>
      </c>
      <c r="E734" s="1" t="str">
        <f ca="1">IFERROR(__xludf.DUMMYFUNCTION("""COMPUTED_VALUE"""),"084-7166191")</f>
        <v>084-7166191</v>
      </c>
      <c r="F734" s="1" t="str">
        <f ca="1">IFERROR(__xludf.DUMMYFUNCTION("""COMPUTED_VALUE"""),"548 บ.ไม้อัดไทย")</f>
        <v>548 บ.ไม้อัดไทย</v>
      </c>
      <c r="G734" s="1" t="str">
        <f ca="1">IFERROR(__xludf.DUMMYFUNCTION("""COMPUTED_VALUE"""),"นำจ่ายใหม่")</f>
        <v>นำจ่ายใหม่</v>
      </c>
      <c r="H734" s="1" t="str">
        <f ca="1">IFERROR(__xludf.DUMMYFUNCTION("""COMPUTED_VALUE"""),"COD ลูกค้าชำระเงินแล้ว ต้องการให้นำจ่ายสิ่งของ")</f>
        <v>COD ลูกค้าชำระเงินแล้ว ต้องการให้นำจ่ายสิ่งของ</v>
      </c>
      <c r="I734" s="1"/>
      <c r="J734" s="1" t="str">
        <f ca="1">IFERROR(__xludf.DUMMYFUNCTION("""COMPUTED_VALUE"""),"นำจ่ายรถยนต์")</f>
        <v>นำจ่ายรถยนต์</v>
      </c>
      <c r="K734" s="1" t="str">
        <f ca="1">IFERROR(__xludf.DUMMYFUNCTION("""COMPUTED_VALUE"""),"CAR10260EVD5003")</f>
        <v>CAR10260EVD5003</v>
      </c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 ht="15.75" customHeight="1" x14ac:dyDescent="0.2">
      <c r="A735" s="7">
        <f ca="1">IFERROR(__xludf.DUMMYFUNCTION("""COMPUTED_VALUE"""),243578.516516203)</f>
        <v>243578.516516203</v>
      </c>
      <c r="B735" s="1" t="str">
        <f ca="1">IFERROR(__xludf.DUMMYFUNCTION("""COMPUTED_VALUE"""),"CEC")</f>
        <v>CEC</v>
      </c>
      <c r="C735" s="1" t="str">
        <f ca="1">IFERROR(__xludf.DUMMYFUNCTION("""COMPUTED_VALUE"""),"RI890195361TH")</f>
        <v>RI890195361TH</v>
      </c>
      <c r="D735" s="1" t="str">
        <f ca="1">IFERROR(__xludf.DUMMYFUNCTION("""COMPUTED_VALUE"""),"คุณไอลีน")</f>
        <v>คุณไอลีน</v>
      </c>
      <c r="E735" s="1" t="str">
        <f ca="1">IFERROR(__xludf.DUMMYFUNCTION("""COMPUTED_VALUE"""),"0610588849")</f>
        <v>0610588849</v>
      </c>
      <c r="F735" s="1" t="str">
        <f ca="1">IFERROR(__xludf.DUMMYFUNCTION("""COMPUTED_VALUE"""),"590 สุขุมวิท 95")</f>
        <v>590 สุขุมวิท 95</v>
      </c>
      <c r="G735" s="1" t="str">
        <f ca="1">IFERROR(__xludf.DUMMYFUNCTION("""COMPUTED_VALUE"""),"นำจ่ายใหม่")</f>
        <v>นำจ่ายใหม่</v>
      </c>
      <c r="H735" s="1" t="str">
        <f ca="1">IFERROR(__xludf.DUMMYFUNCTION("""COMPUTED_VALUE"""),"ขอให้นำจ่ายใหม่")</f>
        <v>ขอให้นำจ่ายใหม่</v>
      </c>
      <c r="I735" s="1" t="str">
        <f ca="1">IFERROR(__xludf.DUMMYFUNCTION("""COMPUTED_VALUE"""),"ประสานงานนำจ่ายใหม่ 21 พ.ย. บ่าย")</f>
        <v>ประสานงานนำจ่ายใหม่ 21 พ.ย. บ่าย</v>
      </c>
      <c r="J735" s="1" t="str">
        <f ca="1">IFERROR(__xludf.DUMMYFUNCTION("""COMPUTED_VALUE"""),"DB3")</f>
        <v>DB3</v>
      </c>
      <c r="K735" s="1" t="str">
        <f ca="1">IFERROR(__xludf.DUMMYFUNCTION("""COMPUTED_VALUE"""),"EMS10260EVD3013")</f>
        <v>EMS10260EVD3013</v>
      </c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 ht="15.75" customHeight="1" x14ac:dyDescent="0.2">
      <c r="A736" s="7">
        <f ca="1">IFERROR(__xludf.DUMMYFUNCTION("""COMPUTED_VALUE"""),243578.521840277)</f>
        <v>243578.52184027701</v>
      </c>
      <c r="B736" s="1" t="str">
        <f ca="1">IFERROR(__xludf.DUMMYFUNCTION("""COMPUTED_VALUE"""),"On Queue")</f>
        <v>On Queue</v>
      </c>
      <c r="C736" s="1" t="str">
        <f ca="1">IFERROR(__xludf.DUMMYFUNCTION("""COMPUTED_VALUE"""),"EB998375716TH")</f>
        <v>EB998375716TH</v>
      </c>
      <c r="D736" s="1" t="str">
        <f ca="1">IFERROR(__xludf.DUMMYFUNCTION("""COMPUTED_VALUE"""),"สิทธิโชค")</f>
        <v>สิทธิโชค</v>
      </c>
      <c r="E736" s="1" t="str">
        <f ca="1">IFERROR(__xludf.DUMMYFUNCTION("""COMPUTED_VALUE"""),"081-1486685")</f>
        <v>081-1486685</v>
      </c>
      <c r="F736" s="1" t="str">
        <f ca="1">IFERROR(__xludf.DUMMYFUNCTION("""COMPUTED_VALUE"""),"77 บางนาตราด 46")</f>
        <v>77 บางนาตราด 46</v>
      </c>
      <c r="G736" s="1" t="str">
        <f ca="1">IFERROR(__xludf.DUMMYFUNCTION("""COMPUTED_VALUE"""),"นำจ่ายใหม่")</f>
        <v>นำจ่ายใหม่</v>
      </c>
      <c r="H736" s="1" t="str">
        <f ca="1">IFERROR(__xludf.DUMMYFUNCTION("""COMPUTED_VALUE"""),"ออกใบแจ้ง 18/11/66")</f>
        <v>ออกใบแจ้ง 18/11/66</v>
      </c>
      <c r="I736" s="1"/>
      <c r="J736" s="1" t="str">
        <f ca="1">IFERROR(__xludf.DUMMYFUNCTION("""COMPUTED_VALUE"""),"DB1")</f>
        <v>DB1</v>
      </c>
      <c r="K736" s="1" t="str">
        <f ca="1">IFERROR(__xludf.DUMMYFUNCTION("""COMPUTED_VALUE"""),"EMS10260EVD1031")</f>
        <v>EMS10260EVD1031</v>
      </c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 ht="15.75" customHeight="1" x14ac:dyDescent="0.2">
      <c r="A737" s="7">
        <f ca="1">IFERROR(__xludf.DUMMYFUNCTION("""COMPUTED_VALUE"""),243578.536377314)</f>
        <v>243578.53637731401</v>
      </c>
      <c r="B737" s="1" t="str">
        <f ca="1">IFERROR(__xludf.DUMMYFUNCTION("""COMPUTED_VALUE"""),"CEC")</f>
        <v>CEC</v>
      </c>
      <c r="C737" s="1" t="str">
        <f ca="1">IFERROR(__xludf.DUMMYFUNCTION("""COMPUTED_VALUE"""),"RL767589265TH")</f>
        <v>RL767589265TH</v>
      </c>
      <c r="D737" s="1" t="str">
        <f ca="1">IFERROR(__xludf.DUMMYFUNCTION("""COMPUTED_VALUE"""),"สร้อย")</f>
        <v>สร้อย</v>
      </c>
      <c r="E737" s="1" t="str">
        <f ca="1">IFERROR(__xludf.DUMMYFUNCTION("""COMPUTED_VALUE"""),"086-6439429")</f>
        <v>086-6439429</v>
      </c>
      <c r="F737" s="1" t="str">
        <f ca="1">IFERROR(__xludf.DUMMYFUNCTION("""COMPUTED_VALUE"""),"95/69 ม.พรไพลิน ลาซาล 3")</f>
        <v>95/69 ม.พรไพลิน ลาซาล 3</v>
      </c>
      <c r="G737" s="1" t="str">
        <f ca="1">IFERROR(__xludf.DUMMYFUNCTION("""COMPUTED_VALUE"""),"ตรวจสอบการนำจ่าย")</f>
        <v>ตรวจสอบการนำจ่าย</v>
      </c>
      <c r="H737" s="1" t="str">
        <f ca="1">IFERROR(__xludf.DUMMYFUNCTION("""COMPUTED_VALUE"""),"ยังไม่มีการนำจ่าย")</f>
        <v>ยังไม่มีการนำจ่าย</v>
      </c>
      <c r="I737" s="1"/>
      <c r="J737" s="1" t="str">
        <f ca="1">IFERROR(__xludf.DUMMYFUNCTION("""COMPUTED_VALUE"""),"DB1")</f>
        <v>DB1</v>
      </c>
      <c r="K737" s="1" t="str">
        <f ca="1">IFERROR(__xludf.DUMMYFUNCTION("""COMPUTED_VALUE"""),"EMS10260EVD1020")</f>
        <v>EMS10260EVD1020</v>
      </c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 ht="15.75" customHeight="1" x14ac:dyDescent="0.2">
      <c r="A738" s="7">
        <f ca="1">IFERROR(__xludf.DUMMYFUNCTION("""COMPUTED_VALUE"""),243579.307418981)</f>
        <v>243579.30741898101</v>
      </c>
      <c r="B738" s="1" t="str">
        <f ca="1">IFERROR(__xludf.DUMMYFUNCTION("""COMPUTED_VALUE"""),"CEC")</f>
        <v>CEC</v>
      </c>
      <c r="C738" s="1" t="str">
        <f ca="1">IFERROR(__xludf.DUMMYFUNCTION("""COMPUTED_VALUE"""),"EB950590874TH")</f>
        <v>EB950590874TH</v>
      </c>
      <c r="D738" s="1" t="str">
        <f ca="1">IFERROR(__xludf.DUMMYFUNCTION("""COMPUTED_VALUE"""),"เกศินี")</f>
        <v>เกศินี</v>
      </c>
      <c r="E738" s="1" t="str">
        <f ca="1">IFERROR(__xludf.DUMMYFUNCTION("""COMPUTED_VALUE"""),"090-9907520")</f>
        <v>090-9907520</v>
      </c>
      <c r="F738" s="1" t="str">
        <f ca="1">IFERROR(__xludf.DUMMYFUNCTION("""COMPUTED_VALUE"""),"114 ปุณณวิถี 50")</f>
        <v>114 ปุณณวิถี 50</v>
      </c>
      <c r="G738" s="1" t="str">
        <f ca="1">IFERROR(__xludf.DUMMYFUNCTION("""COMPUTED_VALUE"""),"ตรวจสอบการนำจ่าย")</f>
        <v>ตรวจสอบการนำจ่าย</v>
      </c>
      <c r="H738" s="1" t="str">
        <f ca="1">IFERROR(__xludf.DUMMYFUNCTION("""COMPUTED_VALUE"""),"นำจ่าย 14/11/2566")</f>
        <v>นำจ่าย 14/11/2566</v>
      </c>
      <c r="I738" s="1" t="str">
        <f ca="1">IFERROR(__xludf.DUMMYFUNCTION("""COMPUTED_VALUE"""),"นำจ่ายถูกต้องแล้ว")</f>
        <v>นำจ่ายถูกต้องแล้ว</v>
      </c>
      <c r="J738" s="1" t="str">
        <f ca="1">IFERROR(__xludf.DUMMYFUNCTION("""COMPUTED_VALUE"""),"DB3")</f>
        <v>DB3</v>
      </c>
      <c r="K738" s="1" t="str">
        <f ca="1">IFERROR(__xludf.DUMMYFUNCTION("""COMPUTED_VALUE"""),"EMS10260EVD3017")</f>
        <v>EMS10260EVD3017</v>
      </c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 ht="15.75" customHeight="1" x14ac:dyDescent="0.2">
      <c r="A739" s="7">
        <f ca="1">IFERROR(__xludf.DUMMYFUNCTION("""COMPUTED_VALUE"""),243579.575185185)</f>
        <v>243579.57518518501</v>
      </c>
      <c r="B739" s="1" t="str">
        <f ca="1">IFERROR(__xludf.DUMMYFUNCTION("""COMPUTED_VALUE"""),"CEC")</f>
        <v>CEC</v>
      </c>
      <c r="C739" s="1" t="str">
        <f ca="1">IFERROR(__xludf.DUMMYFUNCTION("""COMPUTED_VALUE"""),"EF199678124TH")</f>
        <v>EF199678124TH</v>
      </c>
      <c r="D739" s="1" t="str">
        <f ca="1">IFERROR(__xludf.DUMMYFUNCTION("""COMPUTED_VALUE"""),"ผู้ส่ง 092-5349441")</f>
        <v>ผู้ส่ง 092-5349441</v>
      </c>
      <c r="E739" s="1" t="str">
        <f ca="1">IFERROR(__xludf.DUMMYFUNCTION("""COMPUTED_VALUE"""),"092-8916294")</f>
        <v>092-8916294</v>
      </c>
      <c r="F739" s="1" t="str">
        <f ca="1">IFERROR(__xludf.DUMMYFUNCTION("""COMPUTED_VALUE"""),"1/2468 คอนโดเอื้ออมรสุข")</f>
        <v>1/2468 คอนโดเอื้ออมรสุข</v>
      </c>
      <c r="G739" s="1" t="str">
        <f ca="1">IFERROR(__xludf.DUMMYFUNCTION("""COMPUTED_VALUE"""),"ขอถอนคืน")</f>
        <v>ขอถอนคืน</v>
      </c>
      <c r="H739" s="1" t="str">
        <f ca="1">IFERROR(__xludf.DUMMYFUNCTION("""COMPUTED_VALUE"""),"ผู้ส่งขอถอนคืน")</f>
        <v>ผู้ส่งขอถอนคืน</v>
      </c>
      <c r="I739" s="1" t="str">
        <f ca="1">IFERROR(__xludf.DUMMYFUNCTION("""COMPUTED_VALUE"""),"แจ้งเจ้าหน้าที่ดำเนินการ")</f>
        <v>แจ้งเจ้าหน้าที่ดำเนินการ</v>
      </c>
      <c r="J739" s="1" t="str">
        <f ca="1">IFERROR(__xludf.DUMMYFUNCTION("""COMPUTED_VALUE"""),"DB4")</f>
        <v>DB4</v>
      </c>
      <c r="K739" s="1" t="str">
        <f ca="1">IFERROR(__xludf.DUMMYFUNCTION("""COMPUTED_VALUE"""),"EMS10260EVD4011")</f>
        <v>EMS10260EVD4011</v>
      </c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 ht="15.75" customHeight="1" x14ac:dyDescent="0.2">
      <c r="A740" s="7">
        <f ca="1">IFERROR(__xludf.DUMMYFUNCTION("""COMPUTED_VALUE"""),243579.578344907)</f>
        <v>243579.578344907</v>
      </c>
      <c r="B740" s="1" t="str">
        <f ca="1">IFERROR(__xludf.DUMMYFUNCTION("""COMPUTED_VALUE"""),"CEC")</f>
        <v>CEC</v>
      </c>
      <c r="C740" s="1" t="str">
        <f ca="1">IFERROR(__xludf.DUMMYFUNCTION("""COMPUTED_VALUE"""),"EY198084760TH")</f>
        <v>EY198084760TH</v>
      </c>
      <c r="D740" s="1" t="str">
        <f ca="1">IFERROR(__xludf.DUMMYFUNCTION("""COMPUTED_VALUE"""),"วชรวรรณ")</f>
        <v>วชรวรรณ</v>
      </c>
      <c r="E740" s="1" t="str">
        <f ca="1">IFERROR(__xludf.DUMMYFUNCTION("""COMPUTED_VALUE"""),"082-0501891")</f>
        <v>082-0501891</v>
      </c>
      <c r="F740" s="1" t="str">
        <f ca="1">IFERROR(__xludf.DUMMYFUNCTION("""COMPUTED_VALUE"""),"888 สำนักงานเขตบางนา")</f>
        <v>888 สำนักงานเขตบางนา</v>
      </c>
      <c r="G740" s="1" t="str">
        <f ca="1">IFERROR(__xludf.DUMMYFUNCTION("""COMPUTED_VALUE"""),"นำจ่ายใหม่")</f>
        <v>นำจ่ายใหม่</v>
      </c>
      <c r="H740" s="1" t="str">
        <f ca="1">IFERROR(__xludf.DUMMYFUNCTION("""COMPUTED_VALUE"""),"COD 370 บ")</f>
        <v>COD 370 บ</v>
      </c>
      <c r="I740" s="1" t="str">
        <f ca="1">IFERROR(__xludf.DUMMYFUNCTION("""COMPUTED_VALUE"""),"นำจ่ายเรียบร้อย")</f>
        <v>นำจ่ายเรียบร้อย</v>
      </c>
      <c r="J740" s="1" t="str">
        <f ca="1">IFERROR(__xludf.DUMMYFUNCTION("""COMPUTED_VALUE"""),"DB2")</f>
        <v>DB2</v>
      </c>
      <c r="K740" s="1" t="str">
        <f ca="1">IFERROR(__xludf.DUMMYFUNCTION("""COMPUTED_VALUE"""),"EMS10260EVD2001")</f>
        <v>EMS10260EVD2001</v>
      </c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 ht="15.75" customHeight="1" x14ac:dyDescent="0.2">
      <c r="A741" s="7">
        <f ca="1">IFERROR(__xludf.DUMMYFUNCTION("""COMPUTED_VALUE"""),243579.580046296)</f>
        <v>243579.580046296</v>
      </c>
      <c r="B741" s="1" t="str">
        <f ca="1">IFERROR(__xludf.DUMMYFUNCTION("""COMPUTED_VALUE"""),"On Queue")</f>
        <v>On Queue</v>
      </c>
      <c r="C741" s="1" t="str">
        <f ca="1">IFERROR(__xludf.DUMMYFUNCTION("""COMPUTED_VALUE"""),"ED916476106TH")</f>
        <v>ED916476106TH</v>
      </c>
      <c r="D741" s="1" t="str">
        <f ca="1">IFERROR(__xludf.DUMMYFUNCTION("""COMPUTED_VALUE"""),"บ.แซลม่อน")</f>
        <v>บ.แซลม่อน</v>
      </c>
      <c r="E741" s="1" t="str">
        <f ca="1">IFERROR(__xludf.DUMMYFUNCTION("""COMPUTED_VALUE"""),"1545")</f>
        <v>1545</v>
      </c>
      <c r="F741" s="1" t="str">
        <f ca="1">IFERROR(__xludf.DUMMYFUNCTION("""COMPUTED_VALUE"""),"100/2 วชิรธรรมสาธิต 57 แยก 4")</f>
        <v>100/2 วชิรธรรมสาธิต 57 แยก 4</v>
      </c>
      <c r="G741" s="1" t="str">
        <f ca="1">IFERROR(__xludf.DUMMYFUNCTION("""COMPUTED_VALUE"""),"ตรวจสอบการนำจ่าย")</f>
        <v>ตรวจสอบการนำจ่าย</v>
      </c>
      <c r="H741" s="1" t="str">
        <f ca="1">IFERROR(__xludf.DUMMYFUNCTION("""COMPUTED_VALUE"""),"ต้องการให้นำจ่ายพรุ่งนี้")</f>
        <v>ต้องการให้นำจ่ายพรุ่งนี้</v>
      </c>
      <c r="I741" s="1"/>
      <c r="J741" s="1" t="str">
        <f ca="1">IFERROR(__xludf.DUMMYFUNCTION("""COMPUTED_VALUE"""),"DB3")</f>
        <v>DB3</v>
      </c>
      <c r="K741" s="1" t="str">
        <f ca="1">IFERROR(__xludf.DUMMYFUNCTION("""COMPUTED_VALUE"""),"EMS10260EVD3032")</f>
        <v>EMS10260EVD3032</v>
      </c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 ht="15.75" customHeight="1" x14ac:dyDescent="0.2">
      <c r="A742" s="7">
        <f ca="1">IFERROR(__xludf.DUMMYFUNCTION("""COMPUTED_VALUE"""),243579.584583333)</f>
        <v>243579.58458333299</v>
      </c>
      <c r="B742" s="1" t="str">
        <f ca="1">IFERROR(__xludf.DUMMYFUNCTION("""COMPUTED_VALUE"""),"CEC")</f>
        <v>CEC</v>
      </c>
      <c r="C742" s="1" t="str">
        <f ca="1">IFERROR(__xludf.DUMMYFUNCTION("""COMPUTED_VALUE"""),"RL868816536TH")</f>
        <v>RL868816536TH</v>
      </c>
      <c r="D742" s="1" t="str">
        <f ca="1">IFERROR(__xludf.DUMMYFUNCTION("""COMPUTED_VALUE"""),"อรัญญา")</f>
        <v>อรัญญา</v>
      </c>
      <c r="E742" s="1" t="str">
        <f ca="1">IFERROR(__xludf.DUMMYFUNCTION("""COMPUTED_VALUE"""),"091-8854173")</f>
        <v>091-8854173</v>
      </c>
      <c r="F742" s="1" t="str">
        <f ca="1">IFERROR(__xludf.DUMMYFUNCTION("""COMPUTED_VALUE"""),"165,165/1")</f>
        <v>165,165/1</v>
      </c>
      <c r="G742" s="1" t="str">
        <f ca="1">IFERROR(__xludf.DUMMYFUNCTION("""COMPUTED_VALUE"""),"ตรวจสอบการนำจ่าย")</f>
        <v>ตรวจสอบการนำจ่าย</v>
      </c>
      <c r="H742" s="1" t="str">
        <f ca="1">IFERROR(__xludf.DUMMYFUNCTION("""COMPUTED_VALUE"""),"ไม่มีการส่งมอบ")</f>
        <v>ไม่มีการส่งมอบ</v>
      </c>
      <c r="I742" s="1" t="str">
        <f ca="1">IFERROR(__xludf.DUMMYFUNCTION("""COMPUTED_VALUE"""),"สูญหาย ชดใช้")</f>
        <v>สูญหาย ชดใช้</v>
      </c>
      <c r="J742" s="1" t="str">
        <f ca="1">IFERROR(__xludf.DUMMYFUNCTION("""COMPUTED_VALUE"""),"DB3")</f>
        <v>DB3</v>
      </c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 ht="15.75" customHeight="1" x14ac:dyDescent="0.2">
      <c r="A743" s="7">
        <f ca="1">IFERROR(__xludf.DUMMYFUNCTION("""COMPUTED_VALUE"""),243580.354097222)</f>
        <v>243580.35409722201</v>
      </c>
      <c r="B743" s="1" t="str">
        <f ca="1">IFERROR(__xludf.DUMMYFUNCTION("""COMPUTED_VALUE"""),"CEC")</f>
        <v>CEC</v>
      </c>
      <c r="C743" s="1" t="str">
        <f ca="1">IFERROR(__xludf.DUMMYFUNCTION("""COMPUTED_VALUE"""),"RL832378087TH")</f>
        <v>RL832378087TH</v>
      </c>
      <c r="D743" s="1" t="str">
        <f ca="1">IFERROR(__xludf.DUMMYFUNCTION("""COMPUTED_VALUE"""),"ศริญญา")</f>
        <v>ศริญญา</v>
      </c>
      <c r="E743" s="1" t="str">
        <f ca="1">IFERROR(__xludf.DUMMYFUNCTION("""COMPUTED_VALUE"""),"091-5528221")</f>
        <v>091-5528221</v>
      </c>
      <c r="F743" s="1" t="str">
        <f ca="1">IFERROR(__xludf.DUMMYFUNCTION("""COMPUTED_VALUE"""),"120/745 ม.มณียาวิลล์")</f>
        <v>120/745 ม.มณียาวิลล์</v>
      </c>
      <c r="G743" s="1" t="str">
        <f ca="1">IFERROR(__xludf.DUMMYFUNCTION("""COMPUTED_VALUE"""),"ตรวจสอบการนำจ่าย")</f>
        <v>ตรวจสอบการนำจ่าย</v>
      </c>
      <c r="H743" s="1" t="str">
        <f ca="1">IFERROR(__xludf.DUMMYFUNCTION("""COMPUTED_VALUE"""),"นำจ่าย 16/11/66 ไม่ได้รับ")</f>
        <v>นำจ่าย 16/11/66 ไม่ได้รับ</v>
      </c>
      <c r="I743" s="1"/>
      <c r="J743" s="1" t="str">
        <f ca="1">IFERROR(__xludf.DUMMYFUNCTION("""COMPUTED_VALUE"""),"DB2")</f>
        <v>DB2</v>
      </c>
      <c r="K743" s="1" t="str">
        <f ca="1">IFERROR(__xludf.DUMMYFUNCTION("""COMPUTED_VALUE"""),"EMS10260EVD2024")</f>
        <v>EMS10260EVD2024</v>
      </c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 ht="15.75" customHeight="1" x14ac:dyDescent="0.2">
      <c r="A744" s="7">
        <f ca="1">IFERROR(__xludf.DUMMYFUNCTION("""COMPUTED_VALUE"""),243580.551458333)</f>
        <v>243580.55145833301</v>
      </c>
      <c r="B744" s="1" t="str">
        <f ca="1">IFERROR(__xludf.DUMMYFUNCTION("""COMPUTED_VALUE"""),"CEC")</f>
        <v>CEC</v>
      </c>
      <c r="C744" s="1" t="str">
        <f ca="1">IFERROR(__xludf.DUMMYFUNCTION("""COMPUTED_VALUE"""),"EN540148649TH")</f>
        <v>EN540148649TH</v>
      </c>
      <c r="D744" s="1" t="str">
        <f ca="1">IFERROR(__xludf.DUMMYFUNCTION("""COMPUTED_VALUE"""),"ณัชชา")</f>
        <v>ณัชชา</v>
      </c>
      <c r="E744" s="1" t="str">
        <f ca="1">IFERROR(__xludf.DUMMYFUNCTION("""COMPUTED_VALUE"""),"095-9586335")</f>
        <v>095-9586335</v>
      </c>
      <c r="F744" s="1" t="str">
        <f ca="1">IFERROR(__xludf.DUMMYFUNCTION("""COMPUTED_VALUE"""),"42 สุขุมวิท 64")</f>
        <v>42 สุขุมวิท 64</v>
      </c>
      <c r="G744" s="1" t="str">
        <f ca="1">IFERROR(__xludf.DUMMYFUNCTION("""COMPUTED_VALUE"""),"นำจ่ายใหม่")</f>
        <v>นำจ่ายใหม่</v>
      </c>
      <c r="H744" s="1" t="str">
        <f ca="1">IFERROR(__xludf.DUMMYFUNCTION("""COMPUTED_VALUE"""),"cod 999 บ")</f>
        <v>cod 999 บ</v>
      </c>
      <c r="I744" s="1"/>
      <c r="J744" s="1" t="str">
        <f ca="1">IFERROR(__xludf.DUMMYFUNCTION("""COMPUTED_VALUE"""),"DB4")</f>
        <v>DB4</v>
      </c>
      <c r="K744" s="1" t="str">
        <f ca="1">IFERROR(__xludf.DUMMYFUNCTION("""COMPUTED_VALUE"""),"EMS10260EVD4002")</f>
        <v>EMS10260EVD4002</v>
      </c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 ht="15.75" customHeight="1" x14ac:dyDescent="0.2">
      <c r="A745" s="7">
        <f ca="1">IFERROR(__xludf.DUMMYFUNCTION("""COMPUTED_VALUE"""),243580.552511574)</f>
        <v>243580.552511574</v>
      </c>
      <c r="B745" s="1" t="str">
        <f ca="1">IFERROR(__xludf.DUMMYFUNCTION("""COMPUTED_VALUE"""),"CEC")</f>
        <v>CEC</v>
      </c>
      <c r="C745" s="1" t="str">
        <f ca="1">IFERROR(__xludf.DUMMYFUNCTION("""COMPUTED_VALUE"""),"EM347453982TH")</f>
        <v>EM347453982TH</v>
      </c>
      <c r="D745" s="1" t="str">
        <f ca="1">IFERROR(__xludf.DUMMYFUNCTION("""COMPUTED_VALUE"""),"บจก.คลิกบัญชี")</f>
        <v>บจก.คลิกบัญชี</v>
      </c>
      <c r="E745" s="1" t="str">
        <f ca="1">IFERROR(__xludf.DUMMYFUNCTION("""COMPUTED_VALUE"""),"092-2979479")</f>
        <v>092-2979479</v>
      </c>
      <c r="F745" s="1" t="str">
        <f ca="1">IFERROR(__xludf.DUMMYFUNCTION("""COMPUTED_VALUE"""),"37 อ.บิซทาวร์ บางนาตราด 25")</f>
        <v>37 อ.บิซทาวร์ บางนาตราด 25</v>
      </c>
      <c r="G745" s="1" t="str">
        <f ca="1">IFERROR(__xludf.DUMMYFUNCTION("""COMPUTED_VALUE"""),"นำจ่ายใหม่")</f>
        <v>นำจ่ายใหม่</v>
      </c>
      <c r="H745" s="1" t="str">
        <f ca="1">IFERROR(__xludf.DUMMYFUNCTION("""COMPUTED_VALUE"""),"ยังไม่มีผลการนำจ่าย")</f>
        <v>ยังไม่มีผลการนำจ่าย</v>
      </c>
      <c r="I745" s="1"/>
      <c r="J745" s="1" t="str">
        <f ca="1">IFERROR(__xludf.DUMMYFUNCTION("""COMPUTED_VALUE"""),"DB2")</f>
        <v>DB2</v>
      </c>
      <c r="K745" s="1" t="str">
        <f ca="1">IFERROR(__xludf.DUMMYFUNCTION("""COMPUTED_VALUE"""),"EMS10260EVD2010")</f>
        <v>EMS10260EVD2010</v>
      </c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 ht="15.75" customHeight="1" x14ac:dyDescent="0.2">
      <c r="A746" s="7">
        <f ca="1">IFERROR(__xludf.DUMMYFUNCTION("""COMPUTED_VALUE"""),243580.554780092)</f>
        <v>243580.554780092</v>
      </c>
      <c r="B746" s="1" t="str">
        <f ca="1">IFERROR(__xludf.DUMMYFUNCTION("""COMPUTED_VALUE"""),"CEC")</f>
        <v>CEC</v>
      </c>
      <c r="C746" s="1" t="str">
        <f ca="1">IFERROR(__xludf.DUMMYFUNCTION("""COMPUTED_VALUE"""),"RI890230050TH")</f>
        <v>RI890230050TH</v>
      </c>
      <c r="D746" s="1" t="str">
        <f ca="1">IFERROR(__xludf.DUMMYFUNCTION("""COMPUTED_VALUE"""),"แสงแข")</f>
        <v>แสงแข</v>
      </c>
      <c r="E746" s="1" t="str">
        <f ca="1">IFERROR(__xludf.DUMMYFUNCTION("""COMPUTED_VALUE"""),"084-0360342")</f>
        <v>084-0360342</v>
      </c>
      <c r="F746" s="1" t="str">
        <f ca="1">IFERROR(__xludf.DUMMYFUNCTION("""COMPUTED_VALUE"""),"4 นัทแมนชั่น พึ่งมี 7")</f>
        <v>4 นัทแมนชั่น พึ่งมี 7</v>
      </c>
      <c r="G746" s="1" t="str">
        <f ca="1">IFERROR(__xludf.DUMMYFUNCTION("""COMPUTED_VALUE"""),"นำจ่ายใหม่")</f>
        <v>นำจ่ายใหม่</v>
      </c>
      <c r="H746" s="1" t="str">
        <f ca="1">IFERROR(__xludf.DUMMYFUNCTION("""COMPUTED_VALUE"""),"ลูกค้าขอให้นำจ่ายใหม่ 26/11/66")</f>
        <v>ลูกค้าขอให้นำจ่ายใหม่ 26/11/66</v>
      </c>
      <c r="I746" s="1"/>
      <c r="J746" s="1" t="str">
        <f ca="1">IFERROR(__xludf.DUMMYFUNCTION("""COMPUTED_VALUE"""),"DB3")</f>
        <v>DB3</v>
      </c>
      <c r="K746" s="1" t="str">
        <f ca="1">IFERROR(__xludf.DUMMYFUNCTION("""COMPUTED_VALUE"""),"EMS10260EVD3003")</f>
        <v>EMS10260EVD3003</v>
      </c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 ht="15.75" customHeight="1" x14ac:dyDescent="0.2">
      <c r="A747" s="7">
        <f ca="1">IFERROR(__xludf.DUMMYFUNCTION("""COMPUTED_VALUE"""),243580.55855324)</f>
        <v>243580.55855324</v>
      </c>
      <c r="B747" s="1" t="str">
        <f ca="1">IFERROR(__xludf.DUMMYFUNCTION("""COMPUTED_VALUE"""),"CEC")</f>
        <v>CEC</v>
      </c>
      <c r="C747" s="1" t="str">
        <f ca="1">IFERROR(__xludf.DUMMYFUNCTION("""COMPUTED_VALUE"""),"EN502743530TH")</f>
        <v>EN502743530TH</v>
      </c>
      <c r="D747" s="1" t="str">
        <f ca="1">IFERROR(__xludf.DUMMYFUNCTION("""COMPUTED_VALUE"""),"แนน")</f>
        <v>แนน</v>
      </c>
      <c r="E747" s="1" t="str">
        <f ca="1">IFERROR(__xludf.DUMMYFUNCTION("""COMPUTED_VALUE"""),"098-8906811")</f>
        <v>098-8906811</v>
      </c>
      <c r="F747" s="1" t="str">
        <f ca="1">IFERROR(__xludf.DUMMYFUNCTION("""COMPUTED_VALUE"""),"250 สุขุมวิท 79")</f>
        <v>250 สุขุมวิท 79</v>
      </c>
      <c r="G747" s="1" t="str">
        <f ca="1">IFERROR(__xludf.DUMMYFUNCTION("""COMPUTED_VALUE"""),"นำจ่ายใหม่")</f>
        <v>นำจ่ายใหม่</v>
      </c>
      <c r="H747" s="1" t="str">
        <f ca="1">IFERROR(__xludf.DUMMYFUNCTION("""COMPUTED_VALUE"""),"COD 299 บ")</f>
        <v>COD 299 บ</v>
      </c>
      <c r="I747" s="1" t="str">
        <f ca="1">IFERROR(__xludf.DUMMYFUNCTION("""COMPUTED_VALUE"""),"นำจ่ายแล้ว")</f>
        <v>นำจ่ายแล้ว</v>
      </c>
      <c r="J747" s="1" t="str">
        <f ca="1">IFERROR(__xludf.DUMMYFUNCTION("""COMPUTED_VALUE"""),"DB4")</f>
        <v>DB4</v>
      </c>
      <c r="K747" s="1" t="str">
        <f ca="1">IFERROR(__xludf.DUMMYFUNCTION("""COMPUTED_VALUE"""),"EMS10260EVD4024")</f>
        <v>EMS10260EVD4024</v>
      </c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ht="15.75" customHeight="1" x14ac:dyDescent="0.2">
      <c r="A748" s="7">
        <f ca="1">IFERROR(__xludf.DUMMYFUNCTION("""COMPUTED_VALUE"""),243580.568541666)</f>
        <v>243580.568541666</v>
      </c>
      <c r="B748" s="1" t="str">
        <f ca="1">IFERROR(__xludf.DUMMYFUNCTION("""COMPUTED_VALUE"""),"CEC")</f>
        <v>CEC</v>
      </c>
      <c r="C748" s="1" t="str">
        <f ca="1">IFERROR(__xludf.DUMMYFUNCTION("""COMPUTED_VALUE"""),"EF202335815TH")</f>
        <v>EF202335815TH</v>
      </c>
      <c r="D748" s="1" t="str">
        <f ca="1">IFERROR(__xludf.DUMMYFUNCTION("""COMPUTED_VALUE"""),"เดือนเต็ม")</f>
        <v>เดือนเต็ม</v>
      </c>
      <c r="E748" s="1" t="str">
        <f ca="1">IFERROR(__xludf.DUMMYFUNCTION("""COMPUTED_VALUE"""),"082-9684321")</f>
        <v>082-9684321</v>
      </c>
      <c r="F748" s="1" t="str">
        <f ca="1">IFERROR(__xludf.DUMMYFUNCTION("""COMPUTED_VALUE"""),"1006/148 นิรันดร์เรสซิเด้นท์ 9")</f>
        <v>1006/148 นิรันดร์เรสซิเด้นท์ 9</v>
      </c>
      <c r="G748" s="1" t="str">
        <f ca="1">IFERROR(__xludf.DUMMYFUNCTION("""COMPUTED_VALUE"""),"ตรวจสอบการนำจ่าย")</f>
        <v>ตรวจสอบการนำจ่าย</v>
      </c>
      <c r="H748" s="1" t="str">
        <f ca="1">IFERROR(__xludf.DUMMYFUNCTION("""COMPUTED_VALUE"""),"นำจ่าย 21/11/66 ไม่ได้รับ")</f>
        <v>นำจ่าย 21/11/66 ไม่ได้รับ</v>
      </c>
      <c r="I748" s="1"/>
      <c r="J748" s="1" t="str">
        <f ca="1">IFERROR(__xludf.DUMMYFUNCTION("""COMPUTED_VALUE"""),"DB2")</f>
        <v>DB2</v>
      </c>
      <c r="K748" s="1" t="str">
        <f ca="1">IFERROR(__xludf.DUMMYFUNCTION("""COMPUTED_VALUE"""),"EMS10260EVD2013")</f>
        <v>EMS10260EVD2013</v>
      </c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 ht="15.75" customHeight="1" x14ac:dyDescent="0.2">
      <c r="A749" s="7">
        <f ca="1">IFERROR(__xludf.DUMMYFUNCTION("""COMPUTED_VALUE"""),243580.574016203)</f>
        <v>243580.574016203</v>
      </c>
      <c r="B749" s="1" t="str">
        <f ca="1">IFERROR(__xludf.DUMMYFUNCTION("""COMPUTED_VALUE"""),"CEC")</f>
        <v>CEC</v>
      </c>
      <c r="C749" s="1" t="str">
        <f ca="1">IFERROR(__xludf.DUMMYFUNCTION("""COMPUTED_VALUE"""),"EB952450058TH")</f>
        <v>EB952450058TH</v>
      </c>
      <c r="D749" s="1" t="str">
        <f ca="1">IFERROR(__xludf.DUMMYFUNCTION("""COMPUTED_VALUE"""),"ภูดิษ")</f>
        <v>ภูดิษ</v>
      </c>
      <c r="E749" s="1" t="str">
        <f ca="1">IFERROR(__xludf.DUMMYFUNCTION("""COMPUTED_VALUE"""),"096-3966657")</f>
        <v>096-3966657</v>
      </c>
      <c r="F749" s="1" t="str">
        <f ca="1">IFERROR(__xludf.DUMMYFUNCTION("""COMPUTED_VALUE"""),"1198/176 เดอะเบส สุขุมวิท 50")</f>
        <v>1198/176 เดอะเบส สุขุมวิท 50</v>
      </c>
      <c r="G749" s="1" t="str">
        <f ca="1">IFERROR(__xludf.DUMMYFUNCTION("""COMPUTED_VALUE"""),"ตรวจสอบการนำจ่าย")</f>
        <v>ตรวจสอบการนำจ่าย</v>
      </c>
      <c r="H749" s="1" t="str">
        <f ca="1">IFERROR(__xludf.DUMMYFUNCTION("""COMPUTED_VALUE"""),"นำจ่าย 22/11/66 ไม่ได้รับ")</f>
        <v>นำจ่าย 22/11/66 ไม่ได้รับ</v>
      </c>
      <c r="I749" s="1"/>
      <c r="J749" s="1" t="str">
        <f ca="1">IFERROR(__xludf.DUMMYFUNCTION("""COMPUTED_VALUE"""),"นำจ่ายรถยนต์")</f>
        <v>นำจ่ายรถยนต์</v>
      </c>
      <c r="K749" s="1" t="str">
        <f ca="1">IFERROR(__xludf.DUMMYFUNCTION("""COMPUTED_VALUE"""),"CAR10260EVD5013")</f>
        <v>CAR10260EVD5013</v>
      </c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ht="15.75" customHeight="1" x14ac:dyDescent="0.2">
      <c r="A750" s="7">
        <f ca="1">IFERROR(__xludf.DUMMYFUNCTION("""COMPUTED_VALUE"""),243580.575497685)</f>
        <v>243580.575497685</v>
      </c>
      <c r="B750" s="1" t="str">
        <f ca="1">IFERROR(__xludf.DUMMYFUNCTION("""COMPUTED_VALUE"""),"CEC")</f>
        <v>CEC</v>
      </c>
      <c r="C750" s="1" t="str">
        <f ca="1">IFERROR(__xludf.DUMMYFUNCTION("""COMPUTED_VALUE"""),"EN501267595TH")</f>
        <v>EN501267595TH</v>
      </c>
      <c r="D750" s="1" t="str">
        <f ca="1">IFERROR(__xludf.DUMMYFUNCTION("""COMPUTED_VALUE"""),"อิสรีย์")</f>
        <v>อิสรีย์</v>
      </c>
      <c r="E750" s="1" t="str">
        <f ca="1">IFERROR(__xludf.DUMMYFUNCTION("""COMPUTED_VALUE"""),"081-6822770")</f>
        <v>081-6822770</v>
      </c>
      <c r="F750" s="1" t="str">
        <f ca="1">IFERROR(__xludf.DUMMYFUNCTION("""COMPUTED_VALUE"""),"138/12 แฟลตทหารเรือ")</f>
        <v>138/12 แฟลตทหารเรือ</v>
      </c>
      <c r="G750" s="1" t="str">
        <f ca="1">IFERROR(__xludf.DUMMYFUNCTION("""COMPUTED_VALUE"""),"ตรวจสอบการนำจ่าย")</f>
        <v>ตรวจสอบการนำจ่าย</v>
      </c>
      <c r="H750" s="1" t="str">
        <f ca="1">IFERROR(__xludf.DUMMYFUNCTION("""COMPUTED_VALUE"""),"นำจ่าย 16/11/66")</f>
        <v>นำจ่าย 16/11/66</v>
      </c>
      <c r="I750" s="1" t="str">
        <f ca="1">IFERROR(__xludf.DUMMYFUNCTION("""COMPUTED_VALUE"""),"นำจ่ายถูกต้องแล้ว")</f>
        <v>นำจ่ายถูกต้องแล้ว</v>
      </c>
      <c r="J750" s="1" t="str">
        <f ca="1">IFERROR(__xludf.DUMMYFUNCTION("""COMPUTED_VALUE"""),"นำจ่ายรถยนต์")</f>
        <v>นำจ่ายรถยนต์</v>
      </c>
      <c r="K750" s="1" t="str">
        <f ca="1">IFERROR(__xludf.DUMMYFUNCTION("""COMPUTED_VALUE"""),"CAR10260EVD5004")</f>
        <v>CAR10260EVD5004</v>
      </c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ht="15.75" customHeight="1" x14ac:dyDescent="0.2">
      <c r="A751" s="7">
        <f ca="1">IFERROR(__xludf.DUMMYFUNCTION("""COMPUTED_VALUE"""),243580.577256944)</f>
        <v>243580.577256944</v>
      </c>
      <c r="B751" s="1" t="str">
        <f ca="1">IFERROR(__xludf.DUMMYFUNCTION("""COMPUTED_VALUE"""),"CEC")</f>
        <v>CEC</v>
      </c>
      <c r="C751" s="1" t="str">
        <f ca="1">IFERROR(__xludf.DUMMYFUNCTION("""COMPUTED_VALUE"""),"EB944335149TH")</f>
        <v>EB944335149TH</v>
      </c>
      <c r="D751" s="1" t="str">
        <f ca="1">IFERROR(__xludf.DUMMYFUNCTION("""COMPUTED_VALUE"""),"เปรมรักษ์")</f>
        <v>เปรมรักษ์</v>
      </c>
      <c r="E751" s="1" t="str">
        <f ca="1">IFERROR(__xludf.DUMMYFUNCTION("""COMPUTED_VALUE"""),"089-1118292")</f>
        <v>089-1118292</v>
      </c>
      <c r="F751" s="1" t="str">
        <f ca="1">IFERROR(__xludf.DUMMYFUNCTION("""COMPUTED_VALUE"""),"65 บางจาก สุขุมวิท")</f>
        <v>65 บางจาก สุขุมวิท</v>
      </c>
      <c r="G751" s="1" t="str">
        <f ca="1">IFERROR(__xludf.DUMMYFUNCTION("""COMPUTED_VALUE"""),"ตรวจสอบการนำจ่าย")</f>
        <v>ตรวจสอบการนำจ่าย</v>
      </c>
      <c r="H751" s="1" t="str">
        <f ca="1">IFERROR(__xludf.DUMMYFUNCTION("""COMPUTED_VALUE"""),"สถานะไม่อัปเดต")</f>
        <v>สถานะไม่อัปเดต</v>
      </c>
      <c r="I751" s="1" t="str">
        <f ca="1">IFERROR(__xludf.DUMMYFUNCTION("""COMPUTED_VALUE"""),"ดำเนินการเรียบร้อย")</f>
        <v>ดำเนินการเรียบร้อย</v>
      </c>
      <c r="J751" s="1" t="str">
        <f ca="1">IFERROR(__xludf.DUMMYFUNCTION("""COMPUTED_VALUE"""),"นำจ่ายรถยนต์")</f>
        <v>นำจ่ายรถยนต์</v>
      </c>
      <c r="K751" s="1" t="str">
        <f ca="1">IFERROR(__xludf.DUMMYFUNCTION("""COMPUTED_VALUE"""),"CAR10260EVD5014")</f>
        <v>CAR10260EVD5014</v>
      </c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ht="15.75" customHeight="1" x14ac:dyDescent="0.2">
      <c r="A752" s="7">
        <f ca="1">IFERROR(__xludf.DUMMYFUNCTION("""COMPUTED_VALUE"""),243580.579398148)</f>
        <v>243580.57939814799</v>
      </c>
      <c r="B752" s="1" t="str">
        <f ca="1">IFERROR(__xludf.DUMMYFUNCTION("""COMPUTED_VALUE"""),"CEC")</f>
        <v>CEC</v>
      </c>
      <c r="C752" s="1" t="str">
        <f ca="1">IFERROR(__xludf.DUMMYFUNCTION("""COMPUTED_VALUE"""),"EM137891966TH")</f>
        <v>EM137891966TH</v>
      </c>
      <c r="D752" s="1" t="str">
        <f ca="1">IFERROR(__xludf.DUMMYFUNCTION("""COMPUTED_VALUE"""),"สุภาพร")</f>
        <v>สุภาพร</v>
      </c>
      <c r="E752" s="1" t="str">
        <f ca="1">IFERROR(__xludf.DUMMYFUNCTION("""COMPUTED_VALUE"""),"093-6793354")</f>
        <v>093-6793354</v>
      </c>
      <c r="F752" s="1" t="str">
        <f ca="1">IFERROR(__xludf.DUMMYFUNCTION("""COMPUTED_VALUE"""),"1/807 เอื้ออมรสุข")</f>
        <v>1/807 เอื้ออมรสุข</v>
      </c>
      <c r="G752" s="1" t="str">
        <f ca="1">IFERROR(__xludf.DUMMYFUNCTION("""COMPUTED_VALUE"""),"นำจ่ายใหม่")</f>
        <v>นำจ่ายใหม่</v>
      </c>
      <c r="H752" s="1" t="str">
        <f ca="1">IFERROR(__xludf.DUMMYFUNCTION("""COMPUTED_VALUE"""),"บ้านปิด 22/11/66")</f>
        <v>บ้านปิด 22/11/66</v>
      </c>
      <c r="I752" s="1" t="str">
        <f ca="1">IFERROR(__xludf.DUMMYFUNCTION("""COMPUTED_VALUE"""),"นำจ่ายใหม่เรียบร้อย")</f>
        <v>นำจ่ายใหม่เรียบร้อย</v>
      </c>
      <c r="J752" s="1" t="str">
        <f ca="1">IFERROR(__xludf.DUMMYFUNCTION("""COMPUTED_VALUE"""),"DB4")</f>
        <v>DB4</v>
      </c>
      <c r="K752" s="1" t="str">
        <f ca="1">IFERROR(__xludf.DUMMYFUNCTION("""COMPUTED_VALUE"""),"EMS10260EVD4011")</f>
        <v>EMS10260EVD4011</v>
      </c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ht="15.75" customHeight="1" x14ac:dyDescent="0.2">
      <c r="A753" s="7">
        <f ca="1">IFERROR(__xludf.DUMMYFUNCTION("""COMPUTED_VALUE"""),243580.581493055)</f>
        <v>243580.58149305501</v>
      </c>
      <c r="B753" s="1" t="str">
        <f ca="1">IFERROR(__xludf.DUMMYFUNCTION("""COMPUTED_VALUE"""),"CEC")</f>
        <v>CEC</v>
      </c>
      <c r="C753" s="1" t="str">
        <f ca="1">IFERROR(__xludf.DUMMYFUNCTION("""COMPUTED_VALUE"""),"EB952907339TH")</f>
        <v>EB952907339TH</v>
      </c>
      <c r="D753" s="1" t="str">
        <f ca="1">IFERROR(__xludf.DUMMYFUNCTION("""COMPUTED_VALUE"""),"ไอซ์")</f>
        <v>ไอซ์</v>
      </c>
      <c r="E753" s="1" t="str">
        <f ca="1">IFERROR(__xludf.DUMMYFUNCTION("""COMPUTED_VALUE"""),"083-8537118")</f>
        <v>083-8537118</v>
      </c>
      <c r="F753" s="1" t="str">
        <f ca="1">IFERROR(__xludf.DUMMYFUNCTION("""COMPUTED_VALUE"""),"2544/7 เซ็นทริค")</f>
        <v>2544/7 เซ็นทริค</v>
      </c>
      <c r="G753" s="1" t="str">
        <f ca="1">IFERROR(__xludf.DUMMYFUNCTION("""COMPUTED_VALUE"""),"ตรวจสอบการนำจ่าย")</f>
        <v>ตรวจสอบการนำจ่าย</v>
      </c>
      <c r="H753" s="1" t="str">
        <f ca="1">IFERROR(__xludf.DUMMYFUNCTION("""COMPUTED_VALUE"""),"กำชับนำจ่ายวันนี้")</f>
        <v>กำชับนำจ่ายวันนี้</v>
      </c>
      <c r="I753" s="1"/>
      <c r="J753" s="1" t="str">
        <f ca="1">IFERROR(__xludf.DUMMYFUNCTION("""COMPUTED_VALUE"""),"DB2")</f>
        <v>DB2</v>
      </c>
      <c r="K753" s="1" t="str">
        <f ca="1">IFERROR(__xludf.DUMMYFUNCTION("""COMPUTED_VALUE"""),"EMS10260EVD2004")</f>
        <v>EMS10260EVD2004</v>
      </c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ht="15.75" customHeight="1" x14ac:dyDescent="0.2">
      <c r="A754" s="7">
        <f ca="1">IFERROR(__xludf.DUMMYFUNCTION("""COMPUTED_VALUE"""),243580.582337962)</f>
        <v>243580.582337962</v>
      </c>
      <c r="B754" s="1" t="str">
        <f ca="1">IFERROR(__xludf.DUMMYFUNCTION("""COMPUTED_VALUE"""),"CEC")</f>
        <v>CEC</v>
      </c>
      <c r="C754" s="1" t="str">
        <f ca="1">IFERROR(__xludf.DUMMYFUNCTION("""COMPUTED_VALUE"""),"ED647873152TH")</f>
        <v>ED647873152TH</v>
      </c>
      <c r="D754" s="1" t="str">
        <f ca="1">IFERROR(__xludf.DUMMYFUNCTION("""COMPUTED_VALUE"""),"กฤษฎา")</f>
        <v>กฤษฎา</v>
      </c>
      <c r="E754" s="1" t="str">
        <f ca="1">IFERROR(__xludf.DUMMYFUNCTION("""COMPUTED_VALUE"""),"094-9091110")</f>
        <v>094-9091110</v>
      </c>
      <c r="F754" s="1" t="str">
        <f ca="1">IFERROR(__xludf.DUMMYFUNCTION("""COMPUTED_VALUE"""),"1558/29 บ้านกลางกรุง")</f>
        <v>1558/29 บ้านกลางกรุง</v>
      </c>
      <c r="G754" s="1" t="str">
        <f ca="1">IFERROR(__xludf.DUMMYFUNCTION("""COMPUTED_VALUE"""),"ตรวจสอบการนำจ่าย")</f>
        <v>ตรวจสอบการนำจ่าย</v>
      </c>
      <c r="H754" s="1" t="str">
        <f ca="1">IFERROR(__xludf.DUMMYFUNCTION("""COMPUTED_VALUE"""),"นำจ่าย21/11/66")</f>
        <v>นำจ่าย21/11/66</v>
      </c>
      <c r="I754" s="1"/>
      <c r="J754" s="1" t="str">
        <f ca="1">IFERROR(__xludf.DUMMYFUNCTION("""COMPUTED_VALUE"""),"DB1")</f>
        <v>DB1</v>
      </c>
      <c r="K754" s="1" t="str">
        <f ca="1">IFERROR(__xludf.DUMMYFUNCTION("""COMPUTED_VALUE"""),"EMS10260EVD1031")</f>
        <v>EMS10260EVD1031</v>
      </c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ht="15.75" customHeight="1" x14ac:dyDescent="0.2">
      <c r="A755" s="7">
        <f ca="1">IFERROR(__xludf.DUMMYFUNCTION("""COMPUTED_VALUE"""),243580.583773148)</f>
        <v>243580.58377314801</v>
      </c>
      <c r="B755" s="1" t="str">
        <f ca="1">IFERROR(__xludf.DUMMYFUNCTION("""COMPUTED_VALUE"""),"CEC")</f>
        <v>CEC</v>
      </c>
      <c r="C755" s="1" t="str">
        <f ca="1">IFERROR(__xludf.DUMMYFUNCTION("""COMPUTED_VALUE"""),"EF202485421TH")</f>
        <v>EF202485421TH</v>
      </c>
      <c r="D755" s="1" t="str">
        <f ca="1">IFERROR(__xludf.DUMMYFUNCTION("""COMPUTED_VALUE"""),"บี")</f>
        <v>บี</v>
      </c>
      <c r="E755" s="1" t="str">
        <f ca="1">IFERROR(__xludf.DUMMYFUNCTION("""COMPUTED_VALUE"""),"094-7940059")</f>
        <v>094-7940059</v>
      </c>
      <c r="F755" s="1" t="str">
        <f ca="1">IFERROR(__xludf.DUMMYFUNCTION("""COMPUTED_VALUE"""),"ฟิตเนสสามย่าน ลาซาล 83")</f>
        <v>ฟิตเนสสามย่าน ลาซาล 83</v>
      </c>
      <c r="G755" s="1" t="str">
        <f ca="1">IFERROR(__xludf.DUMMYFUNCTION("""COMPUTED_VALUE"""),"นำจ่ายใหม่")</f>
        <v>นำจ่ายใหม่</v>
      </c>
      <c r="H755" s="1" t="str">
        <f ca="1">IFERROR(__xludf.DUMMYFUNCTION("""COMPUTED_VALUE"""),"COD 590 บ")</f>
        <v>COD 590 บ</v>
      </c>
      <c r="I755" s="1"/>
      <c r="J755" s="1" t="str">
        <f ca="1">IFERROR(__xludf.DUMMYFUNCTION("""COMPUTED_VALUE"""),"DB1")</f>
        <v>DB1</v>
      </c>
      <c r="K755" s="1" t="str">
        <f ca="1">IFERROR(__xludf.DUMMYFUNCTION("""COMPUTED_VALUE"""),"ZNE10260EVD1005")</f>
        <v>ZNE10260EVD1005</v>
      </c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ht="15.75" customHeight="1" x14ac:dyDescent="0.2">
      <c r="A756" s="7">
        <f ca="1">IFERROR(__xludf.DUMMYFUNCTION("""COMPUTED_VALUE"""),243581.498148148)</f>
        <v>243581.49814814801</v>
      </c>
      <c r="B756" s="1" t="str">
        <f ca="1">IFERROR(__xludf.DUMMYFUNCTION("""COMPUTED_VALUE"""),"CEC")</f>
        <v>CEC</v>
      </c>
      <c r="C756" s="1" t="str">
        <f ca="1">IFERROR(__xludf.DUMMYFUNCTION("""COMPUTED_VALUE"""),"EM318694938TH")</f>
        <v>EM318694938TH</v>
      </c>
      <c r="D756" s="1" t="str">
        <f ca="1">IFERROR(__xludf.DUMMYFUNCTION("""COMPUTED_VALUE"""),"มัสยา")</f>
        <v>มัสยา</v>
      </c>
      <c r="E756" s="1" t="str">
        <f ca="1">IFERROR(__xludf.DUMMYFUNCTION("""COMPUTED_VALUE"""),"086-5455839")</f>
        <v>086-5455839</v>
      </c>
      <c r="F756" s="1" t="str">
        <f ca="1">IFERROR(__xludf.DUMMYFUNCTION("""COMPUTED_VALUE"""),"344-346 มหาสวัสดิ์แมนชั่น สุขุมวิท 97/1")</f>
        <v>344-346 มหาสวัสดิ์แมนชั่น สุขุมวิท 97/1</v>
      </c>
      <c r="G756" s="1" t="str">
        <f ca="1">IFERROR(__xludf.DUMMYFUNCTION("""COMPUTED_VALUE"""),"นำจ่ายใหม่")</f>
        <v>นำจ่ายใหม่</v>
      </c>
      <c r="H756" s="1" t="str">
        <f ca="1">IFERROR(__xludf.DUMMYFUNCTION("""COMPUTED_VALUE"""),"COD 400 บ")</f>
        <v>COD 400 บ</v>
      </c>
      <c r="I756" s="1" t="str">
        <f ca="1">IFERROR(__xludf.DUMMYFUNCTION("""COMPUTED_VALUE"""),"นำจ่ายใหม่แล้ว")</f>
        <v>นำจ่ายใหม่แล้ว</v>
      </c>
      <c r="J756" s="1" t="str">
        <f ca="1">IFERROR(__xludf.DUMMYFUNCTION("""COMPUTED_VALUE"""),"DB3")</f>
        <v>DB3</v>
      </c>
      <c r="K756" s="1" t="str">
        <f ca="1">IFERROR(__xludf.DUMMYFUNCTION("""COMPUTED_VALUE"""),"EMS10260EVD3011")</f>
        <v>EMS10260EVD3011</v>
      </c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ht="15.75" customHeight="1" x14ac:dyDescent="0.2">
      <c r="A757" s="7">
        <f ca="1">IFERROR(__xludf.DUMMYFUNCTION("""COMPUTED_VALUE"""),243581.500034722)</f>
        <v>243581.500034722</v>
      </c>
      <c r="B757" s="1" t="str">
        <f ca="1">IFERROR(__xludf.DUMMYFUNCTION("""COMPUTED_VALUE"""),"CEC")</f>
        <v>CEC</v>
      </c>
      <c r="C757" s="1" t="str">
        <f ca="1">IFERROR(__xludf.DUMMYFUNCTION("""COMPUTED_VALUE"""),"OB302523343TH")</f>
        <v>OB302523343TH</v>
      </c>
      <c r="D757" s="1" t="str">
        <f ca="1">IFERROR(__xludf.DUMMYFUNCTION("""COMPUTED_VALUE"""),"ดวงทิพย์")</f>
        <v>ดวงทิพย์</v>
      </c>
      <c r="E757" s="1" t="str">
        <f ca="1">IFERROR(__xludf.DUMMYFUNCTION("""COMPUTED_VALUE"""),"086-3200212")</f>
        <v>086-3200212</v>
      </c>
      <c r="F757" s="1" t="str">
        <f ca="1">IFERROR(__xludf.DUMMYFUNCTION("""COMPUTED_VALUE"""),"4061 ถ.สุขุมวิท")</f>
        <v>4061 ถ.สุขุมวิท</v>
      </c>
      <c r="G757" s="1" t="str">
        <f ca="1">IFERROR(__xludf.DUMMYFUNCTION("""COMPUTED_VALUE"""),"นำจ่ายใหม่")</f>
        <v>นำจ่ายใหม่</v>
      </c>
      <c r="H757" s="1"/>
      <c r="I757" s="1" t="str">
        <f ca="1">IFERROR(__xludf.DUMMYFUNCTION("""COMPUTED_VALUE"""),"นำจ่ายใหม่เรียบร้อย")</f>
        <v>นำจ่ายใหม่เรียบร้อย</v>
      </c>
      <c r="J757" s="1" t="str">
        <f ca="1">IFERROR(__xludf.DUMMYFUNCTION("""COMPUTED_VALUE"""),"DB2")</f>
        <v>DB2</v>
      </c>
      <c r="K757" s="1" t="str">
        <f ca="1">IFERROR(__xludf.DUMMYFUNCTION("""COMPUTED_VALUE"""),"EMS10260EVD2005")</f>
        <v>EMS10260EVD2005</v>
      </c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ht="15.75" customHeight="1" x14ac:dyDescent="0.2">
      <c r="A758" s="7">
        <f ca="1">IFERROR(__xludf.DUMMYFUNCTION("""COMPUTED_VALUE"""),243581.508252314)</f>
        <v>243581.508252314</v>
      </c>
      <c r="B758" s="1" t="str">
        <f ca="1">IFERROR(__xludf.DUMMYFUNCTION("""COMPUTED_VALUE"""),"CEC")</f>
        <v>CEC</v>
      </c>
      <c r="C758" s="1" t="str">
        <f ca="1">IFERROR(__xludf.DUMMYFUNCTION("""COMPUTED_VALUE"""),"EB744328876TH")</f>
        <v>EB744328876TH</v>
      </c>
      <c r="D758" s="1" t="str">
        <f ca="1">IFERROR(__xludf.DUMMYFUNCTION("""COMPUTED_VALUE"""),"นท")</f>
        <v>นท</v>
      </c>
      <c r="E758" s="1" t="str">
        <f ca="1">IFERROR(__xludf.DUMMYFUNCTION("""COMPUTED_VALUE"""),"064-5652426")</f>
        <v>064-5652426</v>
      </c>
      <c r="F758" s="1" t="str">
        <f ca="1">IFERROR(__xludf.DUMMYFUNCTION("""COMPUTED_VALUE"""),"123/138 คอนโดทวินทารา สุขุมวิท 52")</f>
        <v>123/138 คอนโดทวินทารา สุขุมวิท 52</v>
      </c>
      <c r="G758" s="1" t="str">
        <f ca="1">IFERROR(__xludf.DUMMYFUNCTION("""COMPUTED_VALUE"""),"ตรวจสอบการนำจ่าย")</f>
        <v>ตรวจสอบการนำจ่าย</v>
      </c>
      <c r="H758" s="1" t="str">
        <f ca="1">IFERROR(__xludf.DUMMYFUNCTION("""COMPUTED_VALUE"""),"นำจ่าย 23/11/66")</f>
        <v>นำจ่าย 23/11/66</v>
      </c>
      <c r="I758" s="1" t="str">
        <f ca="1">IFERROR(__xludf.DUMMYFUNCTION("""COMPUTED_VALUE"""),"นำจ่ายผิดติดตามกลับนำจ่ายใหม่")</f>
        <v>นำจ่ายผิดติดตามกลับนำจ่ายใหม่</v>
      </c>
      <c r="J758" s="1" t="str">
        <f ca="1">IFERROR(__xludf.DUMMYFUNCTION("""COMPUTED_VALUE"""),"นำจ่ายรถยนต์")</f>
        <v>นำจ่ายรถยนต์</v>
      </c>
      <c r="K758" s="1" t="str">
        <f ca="1">IFERROR(__xludf.DUMMYFUNCTION("""COMPUTED_VALUE"""),"CAR10260EVD5004")</f>
        <v>CAR10260EVD5004</v>
      </c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ht="15.75" customHeight="1" x14ac:dyDescent="0.2">
      <c r="A759" s="7">
        <f ca="1">IFERROR(__xludf.DUMMYFUNCTION("""COMPUTED_VALUE"""),243581.510358796)</f>
        <v>243581.51035879599</v>
      </c>
      <c r="B759" s="1" t="str">
        <f ca="1">IFERROR(__xludf.DUMMYFUNCTION("""COMPUTED_VALUE"""),"CEC")</f>
        <v>CEC</v>
      </c>
      <c r="C759" s="1" t="str">
        <f ca="1">IFERROR(__xludf.DUMMYFUNCTION("""COMPUTED_VALUE"""),"ED827594375TH")</f>
        <v>ED827594375TH</v>
      </c>
      <c r="D759" s="1" t="str">
        <f ca="1">IFERROR(__xludf.DUMMYFUNCTION("""COMPUTED_VALUE"""),"ภัทราพร")</f>
        <v>ภัทราพร</v>
      </c>
      <c r="E759" s="1" t="str">
        <f ca="1">IFERROR(__xludf.DUMMYFUNCTION("""COMPUTED_VALUE"""),"086-8993315")</f>
        <v>086-8993315</v>
      </c>
      <c r="F759" s="1" t="str">
        <f ca="1">IFERROR(__xludf.DUMMYFUNCTION("""COMPUTED_VALUE"""),"48 วชิรธรรมสาธิต 4")</f>
        <v>48 วชิรธรรมสาธิต 4</v>
      </c>
      <c r="G759" s="1" t="str">
        <f ca="1">IFERROR(__xludf.DUMMYFUNCTION("""COMPUTED_VALUE"""),"ตรวจสอบการนำจ่าย")</f>
        <v>ตรวจสอบการนำจ่าย</v>
      </c>
      <c r="H759" s="1" t="str">
        <f ca="1">IFERROR(__xludf.DUMMYFUNCTION("""COMPUTED_VALUE"""),"กำชับการนำจ่ายวันนี้")</f>
        <v>กำชับการนำจ่ายวันนี้</v>
      </c>
      <c r="I759" s="1"/>
      <c r="J759" s="1" t="str">
        <f ca="1">IFERROR(__xludf.DUMMYFUNCTION("""COMPUTED_VALUE"""),"DB2")</f>
        <v>DB2</v>
      </c>
      <c r="K759" s="1" t="str">
        <f ca="1">IFERROR(__xludf.DUMMYFUNCTION("""COMPUTED_VALUE"""),"EMS10260EVD2020")</f>
        <v>EMS10260EVD2020</v>
      </c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ht="15.75" customHeight="1" x14ac:dyDescent="0.2">
      <c r="A760" s="7">
        <f ca="1">IFERROR(__xludf.DUMMYFUNCTION("""COMPUTED_VALUE"""),243581.606180555)</f>
        <v>243581.60618055501</v>
      </c>
      <c r="B760" s="1" t="str">
        <f ca="1">IFERROR(__xludf.DUMMYFUNCTION("""COMPUTED_VALUE"""),"CEC")</f>
        <v>CEC</v>
      </c>
      <c r="C760" s="1" t="str">
        <f ca="1">IFERROR(__xludf.DUMMYFUNCTION("""COMPUTED_VALUE"""),"EB524765951TH")</f>
        <v>EB524765951TH</v>
      </c>
      <c r="D760" s="1" t="str">
        <f ca="1">IFERROR(__xludf.DUMMYFUNCTION("""COMPUTED_VALUE"""),"ถิง")</f>
        <v>ถิง</v>
      </c>
      <c r="E760" s="1" t="str">
        <f ca="1">IFERROR(__xludf.DUMMYFUNCTION("""COMPUTED_VALUE"""),"092-7230799")</f>
        <v>092-7230799</v>
      </c>
      <c r="F760" s="1" t="str">
        <f ca="1">IFERROR(__xludf.DUMMYFUNCTION("""COMPUTED_VALUE"""),"30 บางนาคอมเพล็ก บางนาตราด 25")</f>
        <v>30 บางนาคอมเพล็ก บางนาตราด 25</v>
      </c>
      <c r="G760" s="1" t="str">
        <f ca="1">IFERROR(__xludf.DUMMYFUNCTION("""COMPUTED_VALUE"""),"ตรวจสอบการนำจ่าย")</f>
        <v>ตรวจสอบการนำจ่าย</v>
      </c>
      <c r="H760" s="1"/>
      <c r="I760" s="1" t="str">
        <f ca="1">IFERROR(__xludf.DUMMYFUNCTION("""COMPUTED_VALUE"""),"แจ้งจุดนำจ่ายกับผู้รับแล้ว")</f>
        <v>แจ้งจุดนำจ่ายกับผู้รับแล้ว</v>
      </c>
      <c r="J760" s="1" t="str">
        <f ca="1">IFERROR(__xludf.DUMMYFUNCTION("""COMPUTED_VALUE"""),"DB2")</f>
        <v>DB2</v>
      </c>
      <c r="K760" s="1" t="str">
        <f ca="1">IFERROR(__xludf.DUMMYFUNCTION("""COMPUTED_VALUE"""),"EMS10260EVD2010")</f>
        <v>EMS10260EVD2010</v>
      </c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 ht="15.75" customHeight="1" x14ac:dyDescent="0.2">
      <c r="A761" s="7">
        <f ca="1">IFERROR(__xludf.DUMMYFUNCTION("""COMPUTED_VALUE"""),243582.493946759)</f>
        <v>243582.493946759</v>
      </c>
      <c r="B761" s="1" t="str">
        <f ca="1">IFERROR(__xludf.DUMMYFUNCTION("""COMPUTED_VALUE"""),"CEC")</f>
        <v>CEC</v>
      </c>
      <c r="C761" s="1" t="str">
        <f ca="1">IFERROR(__xludf.DUMMYFUNCTION("""COMPUTED_VALUE"""),"EJ729451592TH")</f>
        <v>EJ729451592TH</v>
      </c>
      <c r="D761" s="1" t="str">
        <f ca="1">IFERROR(__xludf.DUMMYFUNCTION("""COMPUTED_VALUE"""),"อริญชนม์")</f>
        <v>อริญชนม์</v>
      </c>
      <c r="E761" s="1" t="str">
        <f ca="1">IFERROR(__xludf.DUMMYFUNCTION("""COMPUTED_VALUE"""),"061-4164635")</f>
        <v>061-4164635</v>
      </c>
      <c r="F761" s="1" t="str">
        <f ca="1">IFERROR(__xludf.DUMMYFUNCTION("""COMPUTED_VALUE"""),"1087/53 ดิเอสเคปคอนโด")</f>
        <v>1087/53 ดิเอสเคปคอนโด</v>
      </c>
      <c r="G761" s="1" t="str">
        <f ca="1">IFERROR(__xludf.DUMMYFUNCTION("""COMPUTED_VALUE"""),"ตรวจสอบการนำจ่าย")</f>
        <v>ตรวจสอบการนำจ่าย</v>
      </c>
      <c r="H761" s="1"/>
      <c r="I761" s="1" t="str">
        <f ca="1">IFERROR(__xludf.DUMMYFUNCTION("""COMPUTED_VALUE"""),"เข้ามาติดต่อรับเองแล้ว")</f>
        <v>เข้ามาติดต่อรับเองแล้ว</v>
      </c>
      <c r="J761" s="1" t="str">
        <f ca="1">IFERROR(__xludf.DUMMYFUNCTION("""COMPUTED_VALUE"""),"DB3")</f>
        <v>DB3</v>
      </c>
      <c r="K761" s="1" t="str">
        <f ca="1">IFERROR(__xludf.DUMMYFUNCTION("""COMPUTED_VALUE"""),"EMS10260EVD3032")</f>
        <v>EMS10260EVD3032</v>
      </c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 ht="15.75" customHeight="1" x14ac:dyDescent="0.2">
      <c r="A762" s="7">
        <f ca="1">IFERROR(__xludf.DUMMYFUNCTION("""COMPUTED_VALUE"""),243582.502881944)</f>
        <v>243582.502881944</v>
      </c>
      <c r="B762" s="1" t="str">
        <f ca="1">IFERROR(__xludf.DUMMYFUNCTION("""COMPUTED_VALUE"""),"CEC")</f>
        <v>CEC</v>
      </c>
      <c r="C762" s="1" t="str">
        <f ca="1">IFERROR(__xludf.DUMMYFUNCTION("""COMPUTED_VALUE"""),"EF202330328TH")</f>
        <v>EF202330328TH</v>
      </c>
      <c r="D762" s="1" t="str">
        <f ca="1">IFERROR(__xludf.DUMMYFUNCTION("""COMPUTED_VALUE"""),"ผู้ส่ง")</f>
        <v>ผู้ส่ง</v>
      </c>
      <c r="E762" s="1" t="str">
        <f ca="1">IFERROR(__xludf.DUMMYFUNCTION("""COMPUTED_VALUE"""),"080-9142120")</f>
        <v>080-9142120</v>
      </c>
      <c r="F762" s="1" t="str">
        <f ca="1">IFERROR(__xludf.DUMMYFUNCTION("""COMPUTED_VALUE"""),"210 พึ่งมี 50")</f>
        <v>210 พึ่งมี 50</v>
      </c>
      <c r="G762" s="1" t="str">
        <f ca="1">IFERROR(__xludf.DUMMYFUNCTION("""COMPUTED_VALUE"""),"ตรวจสอบการนำจ่าย")</f>
        <v>ตรวจสอบการนำจ่าย</v>
      </c>
      <c r="H762" s="1" t="str">
        <f ca="1">IFERROR(__xludf.DUMMYFUNCTION("""COMPUTED_VALUE"""),"ผู้รับปลายทางปฏิเสธการรับ")</f>
        <v>ผู้รับปลายทางปฏิเสธการรับ</v>
      </c>
      <c r="I762" s="1" t="str">
        <f ca="1">IFERROR(__xludf.DUMMYFUNCTION("""COMPUTED_VALUE"""),"สิ่งของส่งคืนผู้ฝากส่ง")</f>
        <v>สิ่งของส่งคืนผู้ฝากส่ง</v>
      </c>
      <c r="J762" s="1" t="str">
        <f ca="1">IFERROR(__xludf.DUMMYFUNCTION("""COMPUTED_VALUE"""),"DB3")</f>
        <v>DB3</v>
      </c>
      <c r="K762" s="1" t="str">
        <f ca="1">IFERROR(__xludf.DUMMYFUNCTION("""COMPUTED_VALUE"""),"EMS10260EVD3007")</f>
        <v>EMS10260EVD3007</v>
      </c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 ht="15.75" customHeight="1" x14ac:dyDescent="0.2">
      <c r="A763" s="7">
        <f ca="1">IFERROR(__xludf.DUMMYFUNCTION("""COMPUTED_VALUE"""),243582.5046875)</f>
        <v>243582.50468750001</v>
      </c>
      <c r="B763" s="1" t="str">
        <f ca="1">IFERROR(__xludf.DUMMYFUNCTION("""COMPUTED_VALUE"""),"CEC")</f>
        <v>CEC</v>
      </c>
      <c r="C763" s="1" t="str">
        <f ca="1">IFERROR(__xludf.DUMMYFUNCTION("""COMPUTED_VALUE"""),"RI889669334TH")</f>
        <v>RI889669334TH</v>
      </c>
      <c r="D763" s="1" t="str">
        <f ca="1">IFERROR(__xludf.DUMMYFUNCTION("""COMPUTED_VALUE"""),"สุธี")</f>
        <v>สุธี</v>
      </c>
      <c r="E763" s="1" t="str">
        <f ca="1">IFERROR(__xludf.DUMMYFUNCTION("""COMPUTED_VALUE"""),"081-8292575")</f>
        <v>081-8292575</v>
      </c>
      <c r="F763" s="1" t="str">
        <f ca="1">IFERROR(__xludf.DUMMYFUNCTION("""COMPUTED_VALUE"""),"2 อุดมสุข 14")</f>
        <v>2 อุดมสุข 14</v>
      </c>
      <c r="G763" s="1" t="str">
        <f ca="1">IFERROR(__xludf.DUMMYFUNCTION("""COMPUTED_VALUE"""),"นำจ่ายใหม่")</f>
        <v>นำจ่ายใหม่</v>
      </c>
      <c r="H763" s="1" t="str">
        <f ca="1">IFERROR(__xludf.DUMMYFUNCTION("""COMPUTED_VALUE"""),"ออกใบแจ้ง 24/11/66")</f>
        <v>ออกใบแจ้ง 24/11/66</v>
      </c>
      <c r="I763" s="1"/>
      <c r="J763" s="1" t="str">
        <f ca="1">IFERROR(__xludf.DUMMYFUNCTION("""COMPUTED_VALUE"""),"DB2")</f>
        <v>DB2</v>
      </c>
      <c r="K763" s="1" t="str">
        <f ca="1">IFERROR(__xludf.DUMMYFUNCTION("""COMPUTED_VALUE"""),"EMS10260EVD2019")</f>
        <v>EMS10260EVD2019</v>
      </c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 ht="15.75" customHeight="1" x14ac:dyDescent="0.2">
      <c r="A764" s="7">
        <f ca="1">IFERROR(__xludf.DUMMYFUNCTION("""COMPUTED_VALUE"""),243582.518587962)</f>
        <v>243582.518587962</v>
      </c>
      <c r="B764" s="1" t="str">
        <f ca="1">IFERROR(__xludf.DUMMYFUNCTION("""COMPUTED_VALUE"""),"CEC")</f>
        <v>CEC</v>
      </c>
      <c r="C764" s="1" t="str">
        <f ca="1">IFERROR(__xludf.DUMMYFUNCTION("""COMPUTED_VALUE"""),"RI890247789TH")</f>
        <v>RI890247789TH</v>
      </c>
      <c r="D764" s="1" t="str">
        <f ca="1">IFERROR(__xludf.DUMMYFUNCTION("""COMPUTED_VALUE"""),"กฤติยาภรณ์")</f>
        <v>กฤติยาภรณ์</v>
      </c>
      <c r="E764" s="1" t="str">
        <f ca="1">IFERROR(__xludf.DUMMYFUNCTION("""COMPUTED_VALUE"""),"088-9245947")</f>
        <v>088-9245947</v>
      </c>
      <c r="F764" s="1" t="str">
        <f ca="1">IFERROR(__xludf.DUMMYFUNCTION("""COMPUTED_VALUE"""),"299/273 รีเจ้นท์ออร์คิด")</f>
        <v>299/273 รีเจ้นท์ออร์คิด</v>
      </c>
      <c r="G764" s="1" t="str">
        <f ca="1">IFERROR(__xludf.DUMMYFUNCTION("""COMPUTED_VALUE"""),"นำจ่ายใหม่")</f>
        <v>นำจ่ายใหม่</v>
      </c>
      <c r="H764" s="1" t="str">
        <f ca="1">IFERROR(__xludf.DUMMYFUNCTION("""COMPUTED_VALUE"""),"จ่าหน้าไม่ชัดเจน")</f>
        <v>จ่าหน้าไม่ชัดเจน</v>
      </c>
      <c r="I764" s="1" t="str">
        <f ca="1">IFERROR(__xludf.DUMMYFUNCTION("""COMPUTED_VALUE"""),"เตรียมการนำจ่ายใหม่วันนี้แล้ว")</f>
        <v>เตรียมการนำจ่ายใหม่วันนี้แล้ว</v>
      </c>
      <c r="J764" s="1" t="str">
        <f ca="1">IFERROR(__xludf.DUMMYFUNCTION("""COMPUTED_VALUE"""),"นำจ่ายรถยนต์")</f>
        <v>นำจ่ายรถยนต์</v>
      </c>
      <c r="K764" s="1" t="str">
        <f ca="1">IFERROR(__xludf.DUMMYFUNCTION("""COMPUTED_VALUE"""),"CAR10260EVD5012")</f>
        <v>CAR10260EVD5012</v>
      </c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 ht="15.75" customHeight="1" x14ac:dyDescent="0.2">
      <c r="A765" s="7">
        <f ca="1">IFERROR(__xludf.DUMMYFUNCTION("""COMPUTED_VALUE"""),243582.520381944)</f>
        <v>243582.52038194399</v>
      </c>
      <c r="B765" s="1" t="str">
        <f ca="1">IFERROR(__xludf.DUMMYFUNCTION("""COMPUTED_VALUE"""),"CEC")</f>
        <v>CEC</v>
      </c>
      <c r="C765" s="1" t="str">
        <f ca="1">IFERROR(__xludf.DUMMYFUNCTION("""COMPUTED_VALUE"""),"RY710947314TH")</f>
        <v>RY710947314TH</v>
      </c>
      <c r="D765" s="1" t="str">
        <f ca="1">IFERROR(__xludf.DUMMYFUNCTION("""COMPUTED_VALUE"""),"จิรายุ")</f>
        <v>จิรายุ</v>
      </c>
      <c r="E765" s="1" t="str">
        <f ca="1">IFERROR(__xludf.DUMMYFUNCTION("""COMPUTED_VALUE"""),"089-6213523")</f>
        <v>089-6213523</v>
      </c>
      <c r="F765" s="1" t="str">
        <f ca="1">IFERROR(__xludf.DUMMYFUNCTION("""COMPUTED_VALUE"""),"114 หอพักเมลาโด พึ่งมี 11")</f>
        <v>114 หอพักเมลาโด พึ่งมี 11</v>
      </c>
      <c r="G765" s="1" t="str">
        <f ca="1">IFERROR(__xludf.DUMMYFUNCTION("""COMPUTED_VALUE"""),"ตรวจสอบการนำจ่าย")</f>
        <v>ตรวจสอบการนำจ่าย</v>
      </c>
      <c r="H765" s="1" t="str">
        <f ca="1">IFERROR(__xludf.DUMMYFUNCTION("""COMPUTED_VALUE"""),"ออกใบแจ้ง 19/11/66")</f>
        <v>ออกใบแจ้ง 19/11/66</v>
      </c>
      <c r="I765" s="1" t="str">
        <f ca="1">IFERROR(__xludf.DUMMYFUNCTION("""COMPUTED_VALUE"""),"จะเข้ามารับเอง")</f>
        <v>จะเข้ามารับเอง</v>
      </c>
      <c r="J765" s="1" t="str">
        <f ca="1">IFERROR(__xludf.DUMMYFUNCTION("""COMPUTED_VALUE"""),"DB3")</f>
        <v>DB3</v>
      </c>
      <c r="K765" s="1" t="str">
        <f ca="1">IFERROR(__xludf.DUMMYFUNCTION("""COMPUTED_VALUE"""),"ZNE10260EVD3001")</f>
        <v>ZNE10260EVD3001</v>
      </c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 ht="15.75" customHeight="1" x14ac:dyDescent="0.2">
      <c r="A766" s="7">
        <f ca="1">IFERROR(__xludf.DUMMYFUNCTION("""COMPUTED_VALUE"""),243582.521851851)</f>
        <v>243582.52185185099</v>
      </c>
      <c r="B766" s="1" t="str">
        <f ca="1">IFERROR(__xludf.DUMMYFUNCTION("""COMPUTED_VALUE"""),"CEC")</f>
        <v>CEC</v>
      </c>
      <c r="C766" s="1" t="str">
        <f ca="1">IFERROR(__xludf.DUMMYFUNCTION("""COMPUTED_VALUE"""),"LV003401405SG")</f>
        <v>LV003401405SG</v>
      </c>
      <c r="D766" s="1" t="str">
        <f ca="1">IFERROR(__xludf.DUMMYFUNCTION("""COMPUTED_VALUE"""),"อัญชลี")</f>
        <v>อัญชลี</v>
      </c>
      <c r="E766" s="1" t="str">
        <f ca="1">IFERROR(__xludf.DUMMYFUNCTION("""COMPUTED_VALUE"""),"096-2362946")</f>
        <v>096-2362946</v>
      </c>
      <c r="F766" s="1" t="str">
        <f ca="1">IFERROR(__xludf.DUMMYFUNCTION("""COMPUTED_VALUE"""),"119/30 ม.ลีออง")</f>
        <v>119/30 ม.ลีออง</v>
      </c>
      <c r="G766" s="1" t="str">
        <f ca="1">IFERROR(__xludf.DUMMYFUNCTION("""COMPUTED_VALUE"""),"ตรวจสอบการนำจ่าย")</f>
        <v>ตรวจสอบการนำจ่าย</v>
      </c>
      <c r="H766" s="1" t="str">
        <f ca="1">IFERROR(__xludf.DUMMYFUNCTION("""COMPUTED_VALUE"""),"สิ่งของต้องอากร")</f>
        <v>สิ่งของต้องอากร</v>
      </c>
      <c r="I766" s="1" t="str">
        <f ca="1">IFERROR(__xludf.DUMMYFUNCTION("""COMPUTED_VALUE"""),"ลูกค้าชำระออนไลน์แล้ว ประสานนำจ่ายใหม่แล้ว")</f>
        <v>ลูกค้าชำระออนไลน์แล้ว ประสานนำจ่ายใหม่แล้ว</v>
      </c>
      <c r="J766" s="1" t="str">
        <f ca="1">IFERROR(__xludf.DUMMYFUNCTION("""COMPUTED_VALUE"""),"บป")</f>
        <v>บป</v>
      </c>
      <c r="K766" s="1" t="str">
        <f ca="1">IFERROR(__xludf.DUMMYFUNCTION("""COMPUTED_VALUE"""),"EMS10260EVD4011")</f>
        <v>EMS10260EVD4011</v>
      </c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 ht="15.75" customHeight="1" x14ac:dyDescent="0.2">
      <c r="A767" s="7">
        <f ca="1">IFERROR(__xludf.DUMMYFUNCTION("""COMPUTED_VALUE"""),243582.523518518)</f>
        <v>243582.52351851799</v>
      </c>
      <c r="B767" s="1" t="str">
        <f ca="1">IFERROR(__xludf.DUMMYFUNCTION("""COMPUTED_VALUE"""),"CEC")</f>
        <v>CEC</v>
      </c>
      <c r="C767" s="1" t="str">
        <f ca="1">IFERROR(__xludf.DUMMYFUNCTION("""COMPUTED_VALUE"""),"RI890169004TH")</f>
        <v>RI890169004TH</v>
      </c>
      <c r="D767" s="1" t="str">
        <f ca="1">IFERROR(__xludf.DUMMYFUNCTION("""COMPUTED_VALUE"""),"ประกายกาญจน์")</f>
        <v>ประกายกาญจน์</v>
      </c>
      <c r="E767" s="1" t="str">
        <f ca="1">IFERROR(__xludf.DUMMYFUNCTION("""COMPUTED_VALUE"""),"098-2736182")</f>
        <v>098-2736182</v>
      </c>
      <c r="F767" s="1" t="str">
        <f ca="1">IFERROR(__xludf.DUMMYFUNCTION("""COMPUTED_VALUE"""),"26/1 มายเฮาส์ ปุณณวิถี 11")</f>
        <v>26/1 มายเฮาส์ ปุณณวิถี 11</v>
      </c>
      <c r="G767" s="1" t="str">
        <f ca="1">IFERROR(__xludf.DUMMYFUNCTION("""COMPUTED_VALUE"""),"นำจ่ายใหม่")</f>
        <v>นำจ่ายใหม่</v>
      </c>
      <c r="H767" s="1" t="str">
        <f ca="1">IFERROR(__xludf.DUMMYFUNCTION("""COMPUTED_VALUE"""),"ออกใบแจ้ง 18/11/66")</f>
        <v>ออกใบแจ้ง 18/11/66</v>
      </c>
      <c r="I767" s="1"/>
      <c r="J767" s="1" t="str">
        <f ca="1">IFERROR(__xludf.DUMMYFUNCTION("""COMPUTED_VALUE"""),"DB3")</f>
        <v>DB3</v>
      </c>
      <c r="K767" s="1" t="str">
        <f ca="1">IFERROR(__xludf.DUMMYFUNCTION("""COMPUTED_VALUE"""),"EMS10260EVD3014")</f>
        <v>EMS10260EVD3014</v>
      </c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 ht="15.75" customHeight="1" x14ac:dyDescent="0.2">
      <c r="A768" s="7">
        <f ca="1">IFERROR(__xludf.DUMMYFUNCTION("""COMPUTED_VALUE"""),243582.551504629)</f>
        <v>243582.55150462899</v>
      </c>
      <c r="B768" s="1" t="str">
        <f ca="1">IFERROR(__xludf.DUMMYFUNCTION("""COMPUTED_VALUE"""),"CEC")</f>
        <v>CEC</v>
      </c>
      <c r="C768" s="1" t="str">
        <f ca="1">IFERROR(__xludf.DUMMYFUNCTION("""COMPUTED_VALUE"""),"ED933240269TH")</f>
        <v>ED933240269TH</v>
      </c>
      <c r="D768" s="1" t="str">
        <f ca="1">IFERROR(__xludf.DUMMYFUNCTION("""COMPUTED_VALUE"""),"อินทิรา")</f>
        <v>อินทิรา</v>
      </c>
      <c r="E768" s="1" t="str">
        <f ca="1">IFERROR(__xludf.DUMMYFUNCTION("""COMPUTED_VALUE"""),"081-8169757")</f>
        <v>081-8169757</v>
      </c>
      <c r="F768" s="1" t="str">
        <f ca="1">IFERROR(__xludf.DUMMYFUNCTION("""COMPUTED_VALUE"""),"3029 ถ.สุขุมวิท")</f>
        <v>3029 ถ.สุขุมวิท</v>
      </c>
      <c r="G768" s="1" t="str">
        <f ca="1">IFERROR(__xludf.DUMMYFUNCTION("""COMPUTED_VALUE"""),"ตรวจสอบการนำจ่าย")</f>
        <v>ตรวจสอบการนำจ่าย</v>
      </c>
      <c r="H768" s="1" t="str">
        <f ca="1">IFERROR(__xludf.DUMMYFUNCTION("""COMPUTED_VALUE"""),"รปภ.คืนเจ้าหน้าที่นำจ่ายกลับมา")</f>
        <v>รปภ.คืนเจ้าหน้าที่นำจ่ายกลับมา</v>
      </c>
      <c r="I768" s="1" t="str">
        <f ca="1">IFERROR(__xludf.DUMMYFUNCTION("""COMPUTED_VALUE"""),"ลูกค้าต้องการให้นำจ่ายใหม่อีกครั้ง")</f>
        <v>ลูกค้าต้องการให้นำจ่ายใหม่อีกครั้ง</v>
      </c>
      <c r="J768" s="1" t="str">
        <f ca="1">IFERROR(__xludf.DUMMYFUNCTION("""COMPUTED_VALUE"""),"DB3")</f>
        <v>DB3</v>
      </c>
      <c r="K768" s="1" t="str">
        <f ca="1">IFERROR(__xludf.DUMMYFUNCTION("""COMPUTED_VALUE"""),"EMS10260EVD3014")</f>
        <v>EMS10260EVD3014</v>
      </c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 ht="15.75" customHeight="1" x14ac:dyDescent="0.2">
      <c r="A769" s="7">
        <f ca="1">IFERROR(__xludf.DUMMYFUNCTION("""COMPUTED_VALUE"""),243582.605416666)</f>
        <v>243582.60541666599</v>
      </c>
      <c r="B769" s="1" t="str">
        <f ca="1">IFERROR(__xludf.DUMMYFUNCTION("""COMPUTED_VALUE"""),"CEC")</f>
        <v>CEC</v>
      </c>
      <c r="C769" s="1" t="str">
        <f ca="1">IFERROR(__xludf.DUMMYFUNCTION("""COMPUTED_VALUE"""),"ED973235995TH")</f>
        <v>ED973235995TH</v>
      </c>
      <c r="D769" s="1" t="str">
        <f ca="1">IFERROR(__xludf.DUMMYFUNCTION("""COMPUTED_VALUE"""),"อภิญญา")</f>
        <v>อภิญญา</v>
      </c>
      <c r="E769" s="1" t="str">
        <f ca="1">IFERROR(__xludf.DUMMYFUNCTION("""COMPUTED_VALUE"""),"099-7944917")</f>
        <v>099-7944917</v>
      </c>
      <c r="F769" s="1" t="str">
        <f ca="1">IFERROR(__xludf.DUMMYFUNCTION("""COMPUTED_VALUE"""),"24 วชิรธรรมสาธิต 39 แยก 2")</f>
        <v>24 วชิรธรรมสาธิต 39 แยก 2</v>
      </c>
      <c r="G769" s="1" t="str">
        <f ca="1">IFERROR(__xludf.DUMMYFUNCTION("""COMPUTED_VALUE"""),"นำจ่ายใหม่")</f>
        <v>นำจ่ายใหม่</v>
      </c>
      <c r="H769" s="1" t="str">
        <f ca="1">IFERROR(__xludf.DUMMYFUNCTION("""COMPUTED_VALUE"""),"บ้านปิด 25/11/66")</f>
        <v>บ้านปิด 25/11/66</v>
      </c>
      <c r="I769" s="1"/>
      <c r="J769" s="1" t="str">
        <f ca="1">IFERROR(__xludf.DUMMYFUNCTION("""COMPUTED_VALUE"""),"DB3")</f>
        <v>DB3</v>
      </c>
      <c r="K769" s="1" t="str">
        <f ca="1">IFERROR(__xludf.DUMMYFUNCTION("""COMPUTED_VALUE"""),"EMS10260EVD3025")</f>
        <v>EMS10260EVD3025</v>
      </c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 ht="15.75" customHeight="1" x14ac:dyDescent="0.2">
      <c r="A770" s="7">
        <f ca="1">IFERROR(__xludf.DUMMYFUNCTION("""COMPUTED_VALUE"""),243582.624293981)</f>
        <v>243582.624293981</v>
      </c>
      <c r="B770" s="1" t="str">
        <f ca="1">IFERROR(__xludf.DUMMYFUNCTION("""COMPUTED_VALUE"""),"CEC")</f>
        <v>CEC</v>
      </c>
      <c r="C770" s="1" t="str">
        <f ca="1">IFERROR(__xludf.DUMMYFUNCTION("""COMPUTED_VALUE"""),"EM405567540TH")</f>
        <v>EM405567540TH</v>
      </c>
      <c r="D770" s="1" t="str">
        <f ca="1">IFERROR(__xludf.DUMMYFUNCTION("""COMPUTED_VALUE"""),"วรดา")</f>
        <v>วรดา</v>
      </c>
      <c r="E770" s="1" t="str">
        <f ca="1">IFERROR(__xludf.DUMMYFUNCTION("""COMPUTED_VALUE"""),"065-9737116")</f>
        <v>065-9737116</v>
      </c>
      <c r="F770" s="1" t="str">
        <f ca="1">IFERROR(__xludf.DUMMYFUNCTION("""COMPUTED_VALUE"""),"405/54 คอนโดนิรันดร์ พึ่งมี 50")</f>
        <v>405/54 คอนโดนิรันดร์ พึ่งมี 50</v>
      </c>
      <c r="G770" s="1" t="str">
        <f ca="1">IFERROR(__xludf.DUMMYFUNCTION("""COMPUTED_VALUE"""),"ตรวจสอบการนำจ่าย")</f>
        <v>ตรวจสอบการนำจ่าย</v>
      </c>
      <c r="H770" s="1" t="str">
        <f ca="1">IFERROR(__xludf.DUMMYFUNCTION("""COMPUTED_VALUE"""),"นำจ่าย 24/11/66")</f>
        <v>นำจ่าย 24/11/66</v>
      </c>
      <c r="I770" s="1"/>
      <c r="J770" s="1" t="str">
        <f ca="1">IFERROR(__xludf.DUMMYFUNCTION("""COMPUTED_VALUE"""),"DB3")</f>
        <v>DB3</v>
      </c>
      <c r="K770" s="1" t="str">
        <f ca="1">IFERROR(__xludf.DUMMYFUNCTION("""COMPUTED_VALUE"""),"EMS10260EVD3006")</f>
        <v>EMS10260EVD3006</v>
      </c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 ht="15.75" customHeight="1" x14ac:dyDescent="0.2">
      <c r="A771" s="7">
        <f ca="1">IFERROR(__xludf.DUMMYFUNCTION("""COMPUTED_VALUE"""),243582.625509259)</f>
        <v>243582.625509259</v>
      </c>
      <c r="B771" s="1" t="str">
        <f ca="1">IFERROR(__xludf.DUMMYFUNCTION("""COMPUTED_VALUE"""),"CEC")</f>
        <v>CEC</v>
      </c>
      <c r="C771" s="1" t="str">
        <f ca="1">IFERROR(__xludf.DUMMYFUNCTION("""COMPUTED_VALUE"""),"EF202597326TH")</f>
        <v>EF202597326TH</v>
      </c>
      <c r="D771" s="1" t="str">
        <f ca="1">IFERROR(__xludf.DUMMYFUNCTION("""COMPUTED_VALUE"""),"เอกนรินทร์")</f>
        <v>เอกนรินทร์</v>
      </c>
      <c r="E771" s="1" t="str">
        <f ca="1">IFERROR(__xludf.DUMMYFUNCTION("""COMPUTED_VALUE"""),"0819129009")</f>
        <v>0819129009</v>
      </c>
      <c r="F771" s="1" t="str">
        <f ca="1">IFERROR(__xludf.DUMMYFUNCTION("""COMPUTED_VALUE"""),"311 ลาซาล 46")</f>
        <v>311 ลาซาล 46</v>
      </c>
      <c r="G771" s="1" t="str">
        <f ca="1">IFERROR(__xludf.DUMMYFUNCTION("""COMPUTED_VALUE"""),"ตรวจสอบการนำจ่าย")</f>
        <v>ตรวจสอบการนำจ่าย</v>
      </c>
      <c r="H771" s="1" t="str">
        <f ca="1">IFERROR(__xludf.DUMMYFUNCTION("""COMPUTED_VALUE"""),"สถานะ : (C) ส่วนราชการ / บริษัท หยุด")</f>
        <v>สถานะ : (C) ส่วนราชการ / บริษัท หยุด</v>
      </c>
      <c r="I771" s="1" t="str">
        <f ca="1">IFERROR(__xludf.DUMMYFUNCTION("""COMPUTED_VALUE"""),"นำจ่ายวันจันทร์")</f>
        <v>นำจ่ายวันจันทร์</v>
      </c>
      <c r="J771" s="1" t="str">
        <f ca="1">IFERROR(__xludf.DUMMYFUNCTION("""COMPUTED_VALUE"""),"DB1")</f>
        <v>DB1</v>
      </c>
      <c r="K771" s="1" t="str">
        <f ca="1">IFERROR(__xludf.DUMMYFUNCTION("""COMPUTED_VALUE"""),"EMS10260EVD1013")</f>
        <v>EMS10260EVD1013</v>
      </c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 ht="15.75" customHeight="1" x14ac:dyDescent="0.2">
      <c r="A772" s="7">
        <f ca="1">IFERROR(__xludf.DUMMYFUNCTION("""COMPUTED_VALUE"""),243583.491724537)</f>
        <v>243583.49172453699</v>
      </c>
      <c r="B772" s="1" t="str">
        <f ca="1">IFERROR(__xludf.DUMMYFUNCTION("""COMPUTED_VALUE"""),"CEC")</f>
        <v>CEC</v>
      </c>
      <c r="C772" s="1" t="str">
        <f ca="1">IFERROR(__xludf.DUMMYFUNCTION("""COMPUTED_VALUE"""),"EO328600904TH")</f>
        <v>EO328600904TH</v>
      </c>
      <c r="D772" s="1" t="str">
        <f ca="1">IFERROR(__xludf.DUMMYFUNCTION("""COMPUTED_VALUE"""),"อัมรินทร์")</f>
        <v>อัมรินทร์</v>
      </c>
      <c r="E772" s="1" t="str">
        <f ca="1">IFERROR(__xludf.DUMMYFUNCTION("""COMPUTED_VALUE"""),"097-2709937")</f>
        <v>097-2709937</v>
      </c>
      <c r="F772" s="1" t="str">
        <f ca="1">IFERROR(__xludf.DUMMYFUNCTION("""COMPUTED_VALUE"""),"71(908/35) วชิรธรรมสาธิต 26")</f>
        <v>71(908/35) วชิรธรรมสาธิต 26</v>
      </c>
      <c r="G772" s="1" t="str">
        <f ca="1">IFERROR(__xludf.DUMMYFUNCTION("""COMPUTED_VALUE"""),"ตรวจสอบการนำจ่าย")</f>
        <v>ตรวจสอบการนำจ่าย</v>
      </c>
      <c r="H772" s="1" t="str">
        <f ca="1">IFERROR(__xludf.DUMMYFUNCTION("""COMPUTED_VALUE"""),"นำจ่าย 25/11/66")</f>
        <v>นำจ่าย 25/11/66</v>
      </c>
      <c r="I772" s="1"/>
      <c r="J772" s="1" t="str">
        <f ca="1">IFERROR(__xludf.DUMMYFUNCTION("""COMPUTED_VALUE"""),"DB2")</f>
        <v>DB2</v>
      </c>
      <c r="K772" s="1" t="str">
        <f ca="1">IFERROR(__xludf.DUMMYFUNCTION("""COMPUTED_VALUE"""),"EMS10260EVD2022")</f>
        <v>EMS10260EVD2022</v>
      </c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 ht="15.75" customHeight="1" x14ac:dyDescent="0.2">
      <c r="A773" s="7">
        <f ca="1">IFERROR(__xludf.DUMMYFUNCTION("""COMPUTED_VALUE"""),243583.492905092)</f>
        <v>243583.49290509199</v>
      </c>
      <c r="B773" s="1" t="str">
        <f ca="1">IFERROR(__xludf.DUMMYFUNCTION("""COMPUTED_VALUE"""),"CEC")</f>
        <v>CEC</v>
      </c>
      <c r="C773" s="1" t="str">
        <f ca="1">IFERROR(__xludf.DUMMYFUNCTION("""COMPUTED_VALUE"""),"EB512703623TH")</f>
        <v>EB512703623TH</v>
      </c>
      <c r="D773" s="1" t="str">
        <f ca="1">IFERROR(__xludf.DUMMYFUNCTION("""COMPUTED_VALUE"""),"รวิศรา")</f>
        <v>รวิศรา</v>
      </c>
      <c r="E773" s="1" t="str">
        <f ca="1">IFERROR(__xludf.DUMMYFUNCTION("""COMPUTED_VALUE"""),"095-9128519")</f>
        <v>095-9128519</v>
      </c>
      <c r="F773" s="1" t="str">
        <f ca="1">IFERROR(__xludf.DUMMYFUNCTION("""COMPUTED_VALUE"""),"110-112 ลาซาล 58")</f>
        <v>110-112 ลาซาล 58</v>
      </c>
      <c r="G773" s="1" t="str">
        <f ca="1">IFERROR(__xludf.DUMMYFUNCTION("""COMPUTED_VALUE"""),"นำจ่ายใหม่")</f>
        <v>นำจ่ายใหม่</v>
      </c>
      <c r="H773" s="1" t="str">
        <f ca="1">IFERROR(__xludf.DUMMYFUNCTION("""COMPUTED_VALUE"""),"บ้านปิด 26/11/66")</f>
        <v>บ้านปิด 26/11/66</v>
      </c>
      <c r="I773" s="1" t="str">
        <f ca="1">IFERROR(__xludf.DUMMYFUNCTION("""COMPUTED_VALUE"""),"นำจ่ายใหม่เรียบร้อยแล้ว")</f>
        <v>นำจ่ายใหม่เรียบร้อยแล้ว</v>
      </c>
      <c r="J773" s="1" t="str">
        <f ca="1">IFERROR(__xludf.DUMMYFUNCTION("""COMPUTED_VALUE"""),"DB1")</f>
        <v>DB1</v>
      </c>
      <c r="K773" s="1" t="str">
        <f ca="1">IFERROR(__xludf.DUMMYFUNCTION("""COMPUTED_VALUE"""),"EMS10260EVD1026")</f>
        <v>EMS10260EVD1026</v>
      </c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 ht="15.75" customHeight="1" x14ac:dyDescent="0.2">
      <c r="A774" s="7">
        <f ca="1">IFERROR(__xludf.DUMMYFUNCTION("""COMPUTED_VALUE"""),243583.495046296)</f>
        <v>243583.49504629601</v>
      </c>
      <c r="B774" s="1" t="str">
        <f ca="1">IFERROR(__xludf.DUMMYFUNCTION("""COMPUTED_VALUE"""),"CEC")</f>
        <v>CEC</v>
      </c>
      <c r="C774" s="1" t="str">
        <f ca="1">IFERROR(__xludf.DUMMYFUNCTION("""COMPUTED_VALUE"""),"EA868046807TH")</f>
        <v>EA868046807TH</v>
      </c>
      <c r="D774" s="1" t="str">
        <f ca="1">IFERROR(__xludf.DUMMYFUNCTION("""COMPUTED_VALUE"""),"รัชฎาพร")</f>
        <v>รัชฎาพร</v>
      </c>
      <c r="E774" s="1" t="str">
        <f ca="1">IFERROR(__xludf.DUMMYFUNCTION("""COMPUTED_VALUE"""),"089-8946423")</f>
        <v>089-8946423</v>
      </c>
      <c r="F774" s="1" t="str">
        <f ca="1">IFERROR(__xludf.DUMMYFUNCTION("""COMPUTED_VALUE"""),"1191/146 พาร์คแลนด์คอนโด")</f>
        <v>1191/146 พาร์คแลนด์คอนโด</v>
      </c>
      <c r="G774" s="1" t="str">
        <f ca="1">IFERROR(__xludf.DUMMYFUNCTION("""COMPUTED_VALUE"""),"นำจ่ายใหม่")</f>
        <v>นำจ่ายใหม่</v>
      </c>
      <c r="H774" s="1" t="str">
        <f ca="1">IFERROR(__xludf.DUMMYFUNCTION("""COMPUTED_VALUE"""),"COD 580 บ")</f>
        <v>COD 580 บ</v>
      </c>
      <c r="I774" s="1"/>
      <c r="J774" s="1" t="str">
        <f ca="1">IFERROR(__xludf.DUMMYFUNCTION("""COMPUTED_VALUE"""),"DB2")</f>
        <v>DB2</v>
      </c>
      <c r="K774" s="1" t="str">
        <f ca="1">IFERROR(__xludf.DUMMYFUNCTION("""COMPUTED_VALUE"""),"EMS10260EVD2009")</f>
        <v>EMS10260EVD2009</v>
      </c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 ht="15.75" customHeight="1" x14ac:dyDescent="0.2">
      <c r="A775" s="7">
        <f ca="1">IFERROR(__xludf.DUMMYFUNCTION("""COMPUTED_VALUE"""),243583.49636574)</f>
        <v>243583.49636573999</v>
      </c>
      <c r="B775" s="1" t="str">
        <f ca="1">IFERROR(__xludf.DUMMYFUNCTION("""COMPUTED_VALUE"""),"CEC")</f>
        <v>CEC</v>
      </c>
      <c r="C775" s="1" t="str">
        <f ca="1">IFERROR(__xludf.DUMMYFUNCTION("""COMPUTED_VALUE"""),"ED846699183TH")</f>
        <v>ED846699183TH</v>
      </c>
      <c r="D775" s="1" t="str">
        <f ca="1">IFERROR(__xludf.DUMMYFUNCTION("""COMPUTED_VALUE"""),"บ.คาร์ฟิน")</f>
        <v>บ.คาร์ฟิน</v>
      </c>
      <c r="E775" s="1" t="str">
        <f ca="1">IFERROR(__xludf.DUMMYFUNCTION("""COMPUTED_VALUE"""),"063-5253354")</f>
        <v>063-5253354</v>
      </c>
      <c r="F775" s="1" t="str">
        <f ca="1">IFERROR(__xludf.DUMMYFUNCTION("""COMPUTED_VALUE"""),"2156 ถ.สุขุมวิท")</f>
        <v>2156 ถ.สุขุมวิท</v>
      </c>
      <c r="G775" s="1" t="str">
        <f ca="1">IFERROR(__xludf.DUMMYFUNCTION("""COMPUTED_VALUE"""),"ตรวจสอบการนำจ่าย")</f>
        <v>ตรวจสอบการนำจ่าย</v>
      </c>
      <c r="H775" s="1" t="str">
        <f ca="1">IFERROR(__xludf.DUMMYFUNCTION("""COMPUTED_VALUE"""),"แจ้งกำชับนำจ่ายวันนี้")</f>
        <v>แจ้งกำชับนำจ่ายวันนี้</v>
      </c>
      <c r="I775" s="1"/>
      <c r="J775" s="1" t="str">
        <f ca="1">IFERROR(__xludf.DUMMYFUNCTION("""COMPUTED_VALUE"""),"DB4")</f>
        <v>DB4</v>
      </c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1:22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1:22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1:22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1:22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1:22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spans="1:22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spans="1:22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spans="1:22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1:22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1:22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1:22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1:22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1:22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1:22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1:22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1:22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1:22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1:22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spans="1:22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spans="1:22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spans="1:22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spans="1:22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spans="1:22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spans="1:22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spans="1:22" ht="15.75" customHeight="1" x14ac:dyDescent="0.2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</row>
    <row r="977" spans="1:22" ht="15.75" customHeight="1" x14ac:dyDescent="0.2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</row>
    <row r="978" spans="1:22" ht="15.75" customHeight="1" x14ac:dyDescent="0.2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</row>
    <row r="979" spans="1:22" ht="15.75" customHeight="1" x14ac:dyDescent="0.2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</row>
    <row r="980" spans="1:22" ht="15.75" customHeight="1" x14ac:dyDescent="0.2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</row>
    <row r="981" spans="1:22" ht="15.75" customHeight="1" x14ac:dyDescent="0.2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</row>
    <row r="982" spans="1:22" ht="15.75" customHeight="1" x14ac:dyDescent="0.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</row>
    <row r="983" spans="1:22" ht="15.75" customHeight="1" x14ac:dyDescent="0.2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</row>
    <row r="984" spans="1:22" ht="15.75" customHeight="1" x14ac:dyDescent="0.2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</row>
    <row r="985" spans="1:22" ht="15.75" customHeight="1" x14ac:dyDescent="0.2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</row>
    <row r="986" spans="1:22" ht="15.75" customHeight="1" x14ac:dyDescent="0.2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</row>
    <row r="987" spans="1:22" ht="15.75" customHeight="1" x14ac:dyDescent="0.2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</row>
    <row r="988" spans="1:22" ht="15.75" customHeight="1" x14ac:dyDescent="0.2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</row>
    <row r="989" spans="1:22" ht="15.75" customHeight="1" x14ac:dyDescent="0.2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</row>
    <row r="990" spans="1:22" ht="15.75" customHeight="1" x14ac:dyDescent="0.2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</row>
    <row r="991" spans="1:22" ht="15.75" customHeight="1" x14ac:dyDescent="0.2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</row>
    <row r="992" spans="1:22" ht="15.75" customHeight="1" x14ac:dyDescent="0.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</row>
    <row r="993" spans="1:22" ht="15.75" customHeight="1" x14ac:dyDescent="0.2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</row>
    <row r="994" spans="1:22" ht="15.75" customHeight="1" x14ac:dyDescent="0.2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</row>
    <row r="995" spans="1:22" ht="15.75" customHeight="1" x14ac:dyDescent="0.2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</row>
    <row r="996" spans="1:22" ht="15.75" customHeight="1" x14ac:dyDescent="0.2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</row>
    <row r="997" spans="1:22" ht="15.75" customHeight="1" x14ac:dyDescent="0.2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</row>
    <row r="998" spans="1:22" ht="15.75" customHeight="1" x14ac:dyDescent="0.2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</row>
    <row r="999" spans="1:22" ht="15.75" customHeight="1" x14ac:dyDescent="0.2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</row>
    <row r="1000" spans="1:22" ht="15.75" customHeight="1" x14ac:dyDescent="0.2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1000"/>
  <sheetViews>
    <sheetView workbookViewId="0"/>
  </sheetViews>
  <sheetFormatPr defaultColWidth="12.5703125" defaultRowHeight="15" customHeight="1" x14ac:dyDescent="0.2"/>
  <cols>
    <col min="1" max="6" width="12.5703125" customWidth="1"/>
  </cols>
  <sheetData>
    <row r="1" spans="1:3" ht="15.75" customHeight="1" x14ac:dyDescent="0.2">
      <c r="A1" s="1" t="s">
        <v>170</v>
      </c>
      <c r="B1" s="1" t="s">
        <v>551</v>
      </c>
      <c r="C1" s="1" t="s">
        <v>552</v>
      </c>
    </row>
    <row r="2" spans="1:3" ht="15.75" customHeight="1" x14ac:dyDescent="0.2">
      <c r="A2" s="1" t="s">
        <v>553</v>
      </c>
      <c r="B2" s="1" t="s">
        <v>554</v>
      </c>
      <c r="C2" s="1" t="s">
        <v>555</v>
      </c>
    </row>
    <row r="3" spans="1:3" ht="15.75" customHeight="1" x14ac:dyDescent="0.2">
      <c r="A3" s="1" t="s">
        <v>556</v>
      </c>
      <c r="B3" s="1" t="s">
        <v>557</v>
      </c>
      <c r="C3" s="1" t="s">
        <v>558</v>
      </c>
    </row>
    <row r="4" spans="1:3" ht="15.75" customHeight="1" x14ac:dyDescent="0.2"/>
    <row r="5" spans="1:3" ht="15.75" customHeight="1" x14ac:dyDescent="0.2"/>
    <row r="6" spans="1:3" ht="15.75" customHeight="1" x14ac:dyDescent="0.2"/>
    <row r="7" spans="1:3" ht="15.75" customHeight="1" x14ac:dyDescent="0.2"/>
    <row r="8" spans="1:3" ht="15.75" customHeight="1" x14ac:dyDescent="0.2"/>
    <row r="9" spans="1:3" ht="15.75" customHeight="1" x14ac:dyDescent="0.2"/>
    <row r="10" spans="1:3" ht="15.75" customHeight="1" x14ac:dyDescent="0.2"/>
    <row r="11" spans="1:3" ht="15.75" customHeight="1" x14ac:dyDescent="0.2"/>
    <row r="12" spans="1:3" ht="15.75" customHeight="1" x14ac:dyDescent="0.2"/>
    <row r="13" spans="1:3" ht="15.75" customHeight="1" x14ac:dyDescent="0.2"/>
    <row r="14" spans="1:3" ht="15.75" customHeight="1" x14ac:dyDescent="0.2"/>
    <row r="15" spans="1:3" ht="15.75" customHeight="1" x14ac:dyDescent="0.2"/>
    <row r="16" spans="1:3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L1000"/>
  <sheetViews>
    <sheetView workbookViewId="0"/>
  </sheetViews>
  <sheetFormatPr defaultColWidth="12.5703125" defaultRowHeight="15" customHeight="1" x14ac:dyDescent="0.2"/>
  <cols>
    <col min="1" max="6" width="12.5703125" customWidth="1"/>
  </cols>
  <sheetData>
    <row r="1" spans="1:12" ht="15.75" customHeight="1" x14ac:dyDescent="0.2">
      <c r="A1" s="1" t="s">
        <v>559</v>
      </c>
      <c r="B1" s="1" t="s">
        <v>560</v>
      </c>
      <c r="C1" s="1" t="s">
        <v>561</v>
      </c>
      <c r="D1" s="1" t="s">
        <v>562</v>
      </c>
      <c r="E1" s="1" t="s">
        <v>563</v>
      </c>
      <c r="F1" s="1" t="s">
        <v>564</v>
      </c>
      <c r="G1" s="1" t="s">
        <v>565</v>
      </c>
      <c r="H1" s="1" t="s">
        <v>566</v>
      </c>
      <c r="I1" s="1" t="s">
        <v>567</v>
      </c>
      <c r="J1" s="1" t="s">
        <v>568</v>
      </c>
      <c r="K1" s="1" t="s">
        <v>569</v>
      </c>
      <c r="L1" s="1" t="s">
        <v>570</v>
      </c>
    </row>
    <row r="2" spans="1:12" ht="15.75" customHeight="1" x14ac:dyDescent="0.2"/>
    <row r="3" spans="1:12" ht="15.75" customHeight="1" x14ac:dyDescent="0.2"/>
    <row r="4" spans="1:12" ht="15.75" customHeight="1" x14ac:dyDescent="0.2"/>
    <row r="5" spans="1:12" ht="15.75" customHeight="1" x14ac:dyDescent="0.2"/>
    <row r="6" spans="1:12" ht="15.75" customHeight="1" x14ac:dyDescent="0.2"/>
    <row r="7" spans="1:12" ht="15.75" customHeight="1" x14ac:dyDescent="0.2"/>
    <row r="8" spans="1:12" ht="15.75" customHeight="1" x14ac:dyDescent="0.2"/>
    <row r="9" spans="1:12" ht="15.75" customHeight="1" x14ac:dyDescent="0.2"/>
    <row r="10" spans="1:12" ht="15.75" customHeight="1" x14ac:dyDescent="0.2"/>
    <row r="11" spans="1:12" ht="15.75" customHeight="1" x14ac:dyDescent="0.2"/>
    <row r="12" spans="1:12" ht="15.75" customHeight="1" x14ac:dyDescent="0.2"/>
    <row r="13" spans="1:12" ht="15.75" customHeight="1" x14ac:dyDescent="0.2"/>
    <row r="14" spans="1:12" ht="15.75" customHeight="1" x14ac:dyDescent="0.2"/>
    <row r="15" spans="1:12" ht="15.75" customHeight="1" x14ac:dyDescent="0.2"/>
    <row r="16" spans="1:12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F1000"/>
  <sheetViews>
    <sheetView workbookViewId="0"/>
  </sheetViews>
  <sheetFormatPr defaultColWidth="12.5703125" defaultRowHeight="15" customHeight="1" x14ac:dyDescent="0.2"/>
  <cols>
    <col min="1" max="6" width="12.5703125" customWidth="1"/>
  </cols>
  <sheetData>
    <row r="1" spans="1:6" ht="15.75" customHeight="1" x14ac:dyDescent="0.2">
      <c r="A1" s="1" t="s">
        <v>571</v>
      </c>
      <c r="B1" s="1" t="s">
        <v>559</v>
      </c>
      <c r="C1" s="1" t="s">
        <v>572</v>
      </c>
      <c r="D1" s="1" t="s">
        <v>573</v>
      </c>
      <c r="E1" s="1" t="s">
        <v>574</v>
      </c>
      <c r="F1" s="1" t="s">
        <v>570</v>
      </c>
    </row>
    <row r="2" spans="1:6" ht="15.75" customHeight="1" x14ac:dyDescent="0.2"/>
    <row r="3" spans="1:6" ht="15.75" customHeight="1" x14ac:dyDescent="0.2"/>
    <row r="4" spans="1:6" ht="15.75" customHeight="1" x14ac:dyDescent="0.2"/>
    <row r="5" spans="1:6" ht="15.75" customHeight="1" x14ac:dyDescent="0.2"/>
    <row r="6" spans="1:6" ht="15.75" customHeight="1" x14ac:dyDescent="0.2"/>
    <row r="7" spans="1:6" ht="15.75" customHeight="1" x14ac:dyDescent="0.2"/>
    <row r="8" spans="1:6" ht="15.75" customHeight="1" x14ac:dyDescent="0.2"/>
    <row r="9" spans="1:6" ht="15.75" customHeight="1" x14ac:dyDescent="0.2"/>
    <row r="10" spans="1:6" ht="15.75" customHeight="1" x14ac:dyDescent="0.2"/>
    <row r="11" spans="1:6" ht="15.75" customHeight="1" x14ac:dyDescent="0.2"/>
    <row r="12" spans="1:6" ht="15.75" customHeight="1" x14ac:dyDescent="0.2"/>
    <row r="13" spans="1:6" ht="15.75" customHeight="1" x14ac:dyDescent="0.2"/>
    <row r="14" spans="1:6" ht="15.75" customHeight="1" x14ac:dyDescent="0.2"/>
    <row r="15" spans="1:6" ht="15.75" customHeight="1" x14ac:dyDescent="0.2"/>
    <row r="16" spans="1:6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AREA_EMPLOYEE</vt:lpstr>
      <vt:lpstr>DB_HEAD</vt:lpstr>
      <vt:lpstr>รายการจาก Form</vt:lpstr>
      <vt:lpstr>User</vt:lpstr>
      <vt:lpstr>Task</vt:lpstr>
      <vt:lpstr>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2025-12-22T20:49:29Z</dcterms:modified>
</cp:coreProperties>
</file>